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AI Diagnosis Results" sheetId="2" state="visible" r:id="rId2"/>
    <sheet name="Rule Checker Results" sheetId="3" state="visible" r:id="rId3"/>
    <sheet name="Responsible AI - Human 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2E8F0"/>
      <sz val="10"/>
    </font>
    <font>
      <name val="Segoe UI"/>
      <b val="1"/>
      <color rgb="000B2545"/>
      <sz val="12"/>
    </font>
    <font>
      <name val="Segoe UI"/>
      <b val="1"/>
      <color rgb="00475569"/>
      <sz val="9"/>
    </font>
    <font>
      <name val="Segoe UI"/>
      <b val="1"/>
      <color rgb="000B2545"/>
      <sz val="20"/>
    </font>
    <font>
      <name val="Segoe UI"/>
      <i val="1"/>
      <color rgb="0064748B"/>
      <sz val="8"/>
    </font>
    <font>
      <name val="Segoe UI"/>
      <b val="1"/>
      <color rgb="00FFFFFF"/>
      <sz val="10"/>
    </font>
    <font>
      <name val="Segoe UI"/>
      <color rgb="001E293B"/>
      <sz val="10"/>
    </font>
    <font>
      <name val="Segoe UI"/>
      <b val="1"/>
      <color rgb="001E293B"/>
      <sz val="10"/>
    </font>
    <font>
      <name val="Segoe UI"/>
      <b val="1"/>
      <color rgb="00166534"/>
      <sz val="10"/>
    </font>
    <font>
      <name val="Segoe UI"/>
      <b val="1"/>
      <color rgb="009A3412"/>
      <sz val="10"/>
    </font>
    <font>
      <name val="Segoe UI"/>
      <b val="1"/>
      <color rgb="00854D0E"/>
      <sz val="10"/>
    </font>
  </fonts>
  <fills count="11">
    <fill>
      <patternFill/>
    </fill>
    <fill>
      <patternFill patternType="gray125"/>
    </fill>
    <fill>
      <patternFill patternType="solid">
        <fgColor rgb="000B2545"/>
        <bgColor rgb="000B2545"/>
      </patternFill>
    </fill>
    <fill>
      <patternFill patternType="solid">
        <fgColor rgb="00E2E8F0"/>
        <bgColor rgb="00E2E8F0"/>
      </patternFill>
    </fill>
    <fill>
      <patternFill patternType="solid">
        <fgColor rgb="00F0F4F8"/>
        <bgColor rgb="00F0F4F8"/>
      </patternFill>
    </fill>
    <fill>
      <patternFill patternType="solid">
        <fgColor rgb="00134074"/>
        <bgColor rgb="00134074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EDD5"/>
        <bgColor rgb="00FFEDD5"/>
      </patternFill>
    </fill>
    <fill>
      <patternFill patternType="solid">
        <fgColor rgb="00FEF08A"/>
        <bgColor rgb="00FEF08A"/>
      </patternFill>
    </fill>
  </fills>
  <borders count="4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0B2545"/>
      </top>
      <bottom style="medium">
        <color rgb="000B2545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0" borderId="2" pivotButton="0" quotePrefix="0" xfId="0"/>
    <xf numFmtId="3" fontId="8" fillId="0" borderId="2" applyAlignment="1" pivotButton="0" quotePrefix="0" xfId="0">
      <alignment horizontal="right" vertical="center"/>
    </xf>
    <xf numFmtId="164" fontId="8" fillId="0" borderId="2" applyAlignment="1" pivotButton="0" quotePrefix="0" xfId="0">
      <alignment horizontal="right" vertical="center"/>
    </xf>
    <xf numFmtId="0" fontId="9" fillId="0" borderId="2" pivotButton="0" quotePrefix="0" xfId="0"/>
    <xf numFmtId="3" fontId="9" fillId="0" borderId="2" applyAlignment="1" pivotButton="0" quotePrefix="0" xfId="0">
      <alignment horizontal="right" vertical="center"/>
    </xf>
    <xf numFmtId="164" fontId="9" fillId="0" borderId="2" applyAlignment="1" pivotButton="0" quotePrefix="0" xfId="0">
      <alignment horizontal="right" vertical="center"/>
    </xf>
    <xf numFmtId="0" fontId="7" fillId="2" borderId="3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2" fontId="8" fillId="7" borderId="2" applyAlignment="1" pivotButton="0" quotePrefix="0" xfId="0">
      <alignment horizontal="right" vertical="center"/>
    </xf>
    <xf numFmtId="0" fontId="10" fillId="6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/>
    </xf>
    <xf numFmtId="2" fontId="8" fillId="8" borderId="2" applyAlignment="1" pivotButton="0" quotePrefix="0" xfId="0">
      <alignment horizontal="right" vertical="center"/>
    </xf>
    <xf numFmtId="3" fontId="8" fillId="7" borderId="2" applyAlignment="1" pivotButton="0" quotePrefix="0" xfId="0">
      <alignment horizontal="right" vertical="center"/>
    </xf>
    <xf numFmtId="3" fontId="8" fillId="8" borderId="2" applyAlignment="1" pivotButton="0" quotePrefix="0" xfId="0">
      <alignment horizontal="right" vertical="center"/>
    </xf>
    <xf numFmtId="0" fontId="11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AI Diagnosis Status (Success vs Failure)</a:t>
            </a:r>
          </a:p>
        </rich>
      </tx>
    </title>
    <plotArea>
      <pieChart>
        <varyColors val="1"/>
        <ser>
          <idx val="0"/>
          <order val="0"/>
          <tx>
            <strRef>
              <f>'Summary Dashboard'!C15</f>
            </strRef>
          </tx>
          <spPr>
            <a:ln>
              <a:prstDash val="solid"/>
            </a:ln>
          </spPr>
          <cat>
            <numRef>
              <f>'Summary Dashboard'!$B$16:$B$17</f>
            </numRef>
          </cat>
          <val>
            <numRef>
              <f>'Summary Dashboard'!$C$16:$C$17</f>
            </numRef>
          </val>
        </ser>
        <dLbls>
          <showVal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Human Review Decisions (Accepted vs Edited)</a:t>
            </a:r>
          </a:p>
        </rich>
      </tx>
    </title>
    <plotArea>
      <pieChart>
        <varyColors val="1"/>
        <ser>
          <idx val="0"/>
          <order val="0"/>
          <tx>
            <strRef>
              <f>'Summary Dashboard'!G15</f>
            </strRef>
          </tx>
          <spPr>
            <a:ln>
              <a:prstDash val="solid"/>
            </a:ln>
          </spPr>
          <cat>
            <numRef>
              <f>'Summary Dashboard'!$F$16:$F$17</f>
            </numRef>
          </cat>
          <val>
            <numRef>
              <f>'Summary Dashboard'!$G$16:$G$17</f>
            </numRef>
          </val>
        </ser>
        <dLbls>
          <showVal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Rule Checker Performance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Dashboard'!K15</f>
            </strRef>
          </tx>
          <spPr>
            <a:ln>
              <a:prstDash val="solid"/>
            </a:ln>
          </spPr>
          <cat>
            <numRef>
              <f>'Summary Dashboard'!$J$16:$J$18</f>
            </numRef>
          </cat>
          <val>
            <numRef>
              <f>'Summary Dashboard'!$K$16:$K$18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Comparison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Cases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AI Diagnosis Confidence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Dashboard'!O15</f>
            </strRef>
          </tx>
          <spPr>
            <a:ln>
              <a:prstDash val="solid"/>
            </a:ln>
          </spPr>
          <cat>
            <numRef>
              <f>'Summary Dashboard'!$N$16:$N$19</f>
            </numRef>
          </cat>
          <val>
            <numRef>
              <f>'Summary Dashboard'!$O$16:$O$19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Confidence Bins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Cases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23</row>
      <rowOff>0</rowOff>
    </from>
    <ext cx="39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23</row>
      <rowOff>0</rowOff>
    </from>
    <ext cx="396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38</row>
      <rowOff>0</rowOff>
    </from>
    <ext cx="396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38</row>
      <rowOff>0</rowOff>
    </from>
    <ext cx="396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B2545"/>
    <outlinePr summaryBelow="1" summaryRight="1"/>
    <pageSetUpPr/>
  </sheetPr>
  <dimension ref="A1:P22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6" customWidth="1" min="4" max="4"/>
    <col width="5" customWidth="1" min="5" max="5"/>
    <col width="22" customWidth="1" min="6" max="6"/>
    <col width="14" customWidth="1" min="7" max="7"/>
    <col width="16" customWidth="1" min="8" max="8"/>
    <col width="5" customWidth="1" min="9" max="9"/>
    <col width="24" customWidth="1" min="10" max="10"/>
    <col width="14" customWidth="1" min="11" max="11"/>
    <col width="16" customWidth="1" min="12" max="12"/>
    <col width="5" customWidth="1" min="13" max="13"/>
    <col width="18" customWidth="1" min="14" max="14"/>
    <col width="14" customWidth="1" min="15" max="15"/>
    <col width="16" customWidth="1" min="16" max="16"/>
  </cols>
  <sheetData>
    <row r="1" ht="30" customHeight="1">
      <c r="A1" s="1" t="inlineStr">
        <is>
          <t>NETSEGA-AI — AI TRACK DASHBOARD</t>
        </is>
      </c>
    </row>
    <row r="2" ht="20" customHeight="1">
      <c r="A2" s="2" t="inlineStr">
        <is>
          <t>Cisco NetAcad VIP 2026 Submission | Automated Network Diagnosis &amp; Responsible AI Evaluation</t>
        </is>
      </c>
    </row>
    <row r="3" ht="10" customHeight="1"/>
    <row r="4" ht="24" customHeight="1">
      <c r="A4" s="3" t="inlineStr">
        <is>
          <t>SECTION 1: KEY PERFORMANCE METRICS</t>
        </is>
      </c>
    </row>
    <row r="5" ht="18" customHeight="1">
      <c r="B5" s="4" t="inlineStr">
        <is>
          <t>TOTAL CASES</t>
        </is>
      </c>
      <c r="C5" s="5" t="n"/>
      <c r="D5" s="4" t="inlineStr">
        <is>
          <t>SUCCESSFUL AI DIAGNOSES</t>
        </is>
      </c>
      <c r="E5" s="5" t="n"/>
      <c r="F5" s="4" t="inlineStr">
        <is>
          <t>FAILED AI DIAGNOSES</t>
        </is>
      </c>
      <c r="G5" s="5" t="n"/>
      <c r="H5" s="4" t="inlineStr">
        <is>
          <t>RULE MATCH RATE</t>
        </is>
      </c>
      <c r="I5" s="5" t="n"/>
    </row>
    <row r="6" ht="28" customHeight="1">
      <c r="B6" s="6">
        <f>COUNTA('AI Diagnosis Results'!A2:A32)</f>
        <v/>
      </c>
      <c r="C6" s="5" t="n"/>
      <c r="D6" s="6">
        <f>COUNTIF('AI Diagnosis Results'!D2:D32, "SUCCESS")</f>
        <v/>
      </c>
      <c r="E6" s="5" t="n"/>
      <c r="F6" s="6">
        <f>COUNTIF('AI Diagnosis Results'!D2:D32, "&lt;&gt;SUCCESS")</f>
        <v/>
      </c>
      <c r="G6" s="5" t="n"/>
      <c r="H6" s="7">
        <f>COUNTIF('Rule Checker Results'!G2:G32, "MATCH")/COUNTA('Rule Checker Results'!A2:A32)</f>
        <v/>
      </c>
      <c r="I6" s="5" t="n"/>
    </row>
    <row r="7" ht="16" customHeight="1">
      <c r="B7" s="8" t="inlineStr">
        <is>
          <t>Total Evaluated Network Cases</t>
        </is>
      </c>
      <c r="C7" s="5" t="n"/>
      <c r="D7" s="8" t="inlineStr">
        <is>
          <t>Gemini API Diagnoses Completed</t>
        </is>
      </c>
      <c r="E7" s="5" t="n"/>
      <c r="F7" s="8" t="inlineStr">
        <is>
          <t>API Failures or Timeouts</t>
        </is>
      </c>
      <c r="G7" s="5" t="n"/>
      <c r="H7" s="8" t="inlineStr">
        <is>
          <t>Deterministic Rule Agreement</t>
        </is>
      </c>
      <c r="I7" s="5" t="n"/>
    </row>
    <row r="8" ht="10" customHeight="1"/>
    <row r="9" ht="18" customHeight="1">
      <c r="B9" s="4" t="inlineStr">
        <is>
          <t>HUMAN REVIEWS</t>
        </is>
      </c>
      <c r="C9" s="5" t="n"/>
      <c r="D9" s="4" t="inlineStr">
        <is>
          <t>ACCEPTED REVIEWS</t>
        </is>
      </c>
      <c r="E9" s="5" t="n"/>
      <c r="F9" s="4" t="inlineStr">
        <is>
          <t>EDITED REVIEWS</t>
        </is>
      </c>
      <c r="G9" s="5" t="n"/>
      <c r="H9" s="4" t="inlineStr">
        <is>
          <t>HUMAN CORRECTION RATE</t>
        </is>
      </c>
      <c r="I9" s="5" t="n"/>
    </row>
    <row r="10" ht="28" customHeight="1">
      <c r="B10" s="6">
        <f>COUNTA('Responsible AI - Human Review'!A2:A32)</f>
        <v/>
      </c>
      <c r="C10" s="5" t="n"/>
      <c r="D10" s="6">
        <f>COUNTIF('Responsible AI - Human Review'!E2:E32, "Accepted")</f>
        <v/>
      </c>
      <c r="E10" s="5" t="n"/>
      <c r="F10" s="6">
        <f>COUNTIF('Responsible AI - Human Review'!E2:E32, "Edited")</f>
        <v/>
      </c>
      <c r="G10" s="5" t="n"/>
      <c r="H10" s="7">
        <f>COUNTIF('Responsible AI - Human Review'!E2:E32, "Edited")/COUNTA('Responsible AI - Human Review'!A2:A32)</f>
        <v/>
      </c>
      <c r="I10" s="5" t="n"/>
    </row>
    <row r="11" ht="16" customHeight="1">
      <c r="B11" s="8" t="inlineStr">
        <is>
          <t>Total Cases Reviewed by Expert</t>
        </is>
      </c>
      <c r="C11" s="5" t="n"/>
      <c r="D11" s="8" t="inlineStr">
        <is>
          <t>AI Diagnosis Accepted Intact</t>
        </is>
      </c>
      <c r="E11" s="5" t="n"/>
      <c r="F11" s="8" t="inlineStr">
        <is>
          <t>Human Expert Corrections Made</t>
        </is>
      </c>
      <c r="G11" s="5" t="n"/>
      <c r="H11" s="8" t="inlineStr">
        <is>
          <t>Percentage of AI Edits Required</t>
        </is>
      </c>
      <c r="I11" s="5" t="n"/>
    </row>
    <row r="12" ht="15" customHeight="1"/>
    <row r="13" ht="24" customHeight="1">
      <c r="A13" s="3" t="inlineStr">
        <is>
          <t>SECTION 2: EVALUATION SUMMARY DATA TABLES</t>
        </is>
      </c>
    </row>
    <row r="14"/>
    <row r="15">
      <c r="B15" s="9" t="inlineStr">
        <is>
          <t>AI Diagnosis Status</t>
        </is>
      </c>
      <c r="C15" s="9" t="inlineStr">
        <is>
          <t>Count</t>
        </is>
      </c>
      <c r="D15" s="9" t="inlineStr">
        <is>
          <t>Percentage</t>
        </is>
      </c>
      <c r="F15" s="9" t="inlineStr">
        <is>
          <t>Human Review Decision</t>
        </is>
      </c>
      <c r="G15" s="9" t="inlineStr">
        <is>
          <t>Count</t>
        </is>
      </c>
      <c r="H15" s="9" t="inlineStr">
        <is>
          <t>Percentage</t>
        </is>
      </c>
      <c r="J15" s="9" t="inlineStr">
        <is>
          <t>Rule Checker Comparison</t>
        </is>
      </c>
      <c r="K15" s="9" t="inlineStr">
        <is>
          <t>Count</t>
        </is>
      </c>
      <c r="L15" s="9" t="inlineStr">
        <is>
          <t>Percentage</t>
        </is>
      </c>
      <c r="N15" s="9" t="inlineStr">
        <is>
          <t>Confidence Bin</t>
        </is>
      </c>
      <c r="O15" s="9" t="inlineStr">
        <is>
          <t>Count</t>
        </is>
      </c>
      <c r="P15" s="9" t="inlineStr">
        <is>
          <t>Percentage</t>
        </is>
      </c>
    </row>
    <row r="16">
      <c r="B16" s="10" t="inlineStr">
        <is>
          <t>SUCCESS</t>
        </is>
      </c>
      <c r="C16" s="11">
        <f>COUNTIF('AI Diagnosis Results'!D2:D32, "SUCCESS")</f>
        <v/>
      </c>
      <c r="D16" s="12">
        <f>C16/B6</f>
        <v/>
      </c>
      <c r="F16" s="10" t="inlineStr">
        <is>
          <t>Accepted</t>
        </is>
      </c>
      <c r="G16" s="11">
        <f>COUNTIF('Responsible AI - Human Review'!E2:E32, "Accepted")</f>
        <v/>
      </c>
      <c r="H16" s="12">
        <f>G16/B6</f>
        <v/>
      </c>
      <c r="J16" s="10" t="inlineStr">
        <is>
          <t>MATCH</t>
        </is>
      </c>
      <c r="K16" s="11">
        <f>COUNTIF('Rule Checker Results'!G2:G32, "MATCH")</f>
        <v/>
      </c>
      <c r="L16" s="12">
        <f>K16/B6</f>
        <v/>
      </c>
      <c r="N16" s="10" t="inlineStr">
        <is>
          <t>&lt; 0.80</t>
        </is>
      </c>
      <c r="O16" s="11">
        <f>COUNTIF('AI Diagnosis Results'!C2:C32, "&lt;0.80")</f>
        <v/>
      </c>
      <c r="P16" s="12">
        <f>O16/B6</f>
        <v/>
      </c>
    </row>
    <row r="17">
      <c r="B17" s="10" t="inlineStr">
        <is>
          <t>FAILED</t>
        </is>
      </c>
      <c r="C17" s="11">
        <f>COUNTIF('AI Diagnosis Results'!D2:D32, "&lt;&gt;SUCCESS")</f>
        <v/>
      </c>
      <c r="D17" s="12">
        <f>C17/B6</f>
        <v/>
      </c>
      <c r="F17" s="10" t="inlineStr">
        <is>
          <t>Edited</t>
        </is>
      </c>
      <c r="G17" s="11">
        <f>COUNTIF('Responsible AI - Human Review'!E2:E32, "Edited")</f>
        <v/>
      </c>
      <c r="H17" s="12">
        <f>G17/B6</f>
        <v/>
      </c>
      <c r="J17" s="10" t="inlineStr">
        <is>
          <t>MISMATCH</t>
        </is>
      </c>
      <c r="K17" s="11">
        <f>COUNTIF('Rule Checker Results'!G2:G32, "MISMATCH")</f>
        <v/>
      </c>
      <c r="L17" s="12">
        <f>K17/B6</f>
        <v/>
      </c>
      <c r="N17" s="10" t="inlineStr">
        <is>
          <t>0.80 - 0.89</t>
        </is>
      </c>
      <c r="O17" s="11">
        <f>COUNTIFS('AI Diagnosis Results'!C2:C32, "&gt;=0.80", 'AI Diagnosis Results'!C2:C32, "&lt;0.90")</f>
        <v/>
      </c>
      <c r="P17" s="12">
        <f>O17/B6</f>
        <v/>
      </c>
    </row>
    <row r="18">
      <c r="B18" s="13" t="inlineStr">
        <is>
          <t>Total</t>
        </is>
      </c>
      <c r="C18" s="14">
        <f>SUM(C16:C17)</f>
        <v/>
      </c>
      <c r="D18" s="15">
        <f>SUM(D16:D17)</f>
        <v/>
      </c>
      <c r="F18" s="13" t="inlineStr">
        <is>
          <t>Total</t>
        </is>
      </c>
      <c r="G18" s="14">
        <f>SUM(G16:G17)</f>
        <v/>
      </c>
      <c r="H18" s="15">
        <f>SUM(H16:H17)</f>
        <v/>
      </c>
      <c r="J18" s="10" t="inlineStr">
        <is>
          <t>NO_DETECTION</t>
        </is>
      </c>
      <c r="K18" s="11">
        <f>COUNTIF('Rule Checker Results'!G2:G32, "NO_DETECTION")</f>
        <v/>
      </c>
      <c r="L18" s="12">
        <f>K18/B6</f>
        <v/>
      </c>
      <c r="N18" s="10" t="inlineStr">
        <is>
          <t>0.90 - 0.95</t>
        </is>
      </c>
      <c r="O18" s="11">
        <f>COUNTIFS('AI Diagnosis Results'!C2:C32, "&gt;=0.90", 'AI Diagnosis Results'!C2:C32, "&lt;=0.95")</f>
        <v/>
      </c>
      <c r="P18" s="12">
        <f>O18/B6</f>
        <v/>
      </c>
    </row>
    <row r="19">
      <c r="J19" s="13" t="inlineStr">
        <is>
          <t>Total</t>
        </is>
      </c>
      <c r="K19" s="14">
        <f>SUM(K16:K18)</f>
        <v/>
      </c>
      <c r="L19" s="15">
        <f>SUM(L16:L18)</f>
        <v/>
      </c>
      <c r="N19" s="10" t="inlineStr">
        <is>
          <t>0.96 - 1.00</t>
        </is>
      </c>
      <c r="O19" s="11">
        <f>COUNTIFS('AI Diagnosis Results'!C2:C32, "&gt;0.95", 'AI Diagnosis Results'!C2:C32, "&lt;=1.00")</f>
        <v/>
      </c>
      <c r="P19" s="12">
        <f>O19/B6</f>
        <v/>
      </c>
    </row>
    <row r="20">
      <c r="N20" s="13" t="inlineStr">
        <is>
          <t>Total</t>
        </is>
      </c>
      <c r="O20" s="14">
        <f>SUM(O16:O19)</f>
        <v/>
      </c>
      <c r="P20" s="15">
        <f>SUM(P16:P19)</f>
        <v/>
      </c>
    </row>
    <row r="21"/>
    <row r="22" ht="24" customHeight="1">
      <c r="A22" s="3" t="inlineStr">
        <is>
          <t>SECTION 3: VISUAL ANALYTICS &amp; EVALUATION CHARTS</t>
        </is>
      </c>
    </row>
  </sheetData>
  <mergeCells count="26">
    <mergeCell ref="F11:G11"/>
    <mergeCell ref="D10:E10"/>
    <mergeCell ref="B7:C7"/>
    <mergeCell ref="F10:G10"/>
    <mergeCell ref="H10:I10"/>
    <mergeCell ref="F6:G6"/>
    <mergeCell ref="H9:I9"/>
    <mergeCell ref="F7:G7"/>
    <mergeCell ref="D6:E6"/>
    <mergeCell ref="A2:L2"/>
    <mergeCell ref="H6:I6"/>
    <mergeCell ref="B11:C11"/>
    <mergeCell ref="D11:E11"/>
    <mergeCell ref="F5:G5"/>
    <mergeCell ref="H11:I11"/>
    <mergeCell ref="D7:E7"/>
    <mergeCell ref="H7:I7"/>
    <mergeCell ref="B10:C10"/>
    <mergeCell ref="B9:C9"/>
    <mergeCell ref="D9:E9"/>
    <mergeCell ref="F9:G9"/>
    <mergeCell ref="B6:C6"/>
    <mergeCell ref="B5:C5"/>
    <mergeCell ref="A1:L1"/>
    <mergeCell ref="D5:E5"/>
    <mergeCell ref="H5:I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70D2"/>
    <outlinePr summaryBelow="1" summaryRight="1"/>
    <pageSetUpPr/>
  </sheetPr>
  <dimension ref="A1:H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2" customWidth="1" min="2" max="2"/>
    <col width="14" customWidth="1" min="3" max="3"/>
    <col width="12" customWidth="1" min="4" max="4"/>
    <col width="13" customWidth="1" min="5" max="5"/>
    <col width="44" customWidth="1" min="6" max="6"/>
    <col width="53" customWidth="1" min="7" max="7"/>
    <col width="25" customWidth="1" min="8" max="8"/>
  </cols>
  <sheetData>
    <row r="1" ht="26" customHeight="1">
      <c r="A1" s="16" t="inlineStr">
        <is>
          <t>Case ID</t>
        </is>
      </c>
      <c r="B1" s="16" t="inlineStr">
        <is>
          <t>AI Diagnosis</t>
        </is>
      </c>
      <c r="C1" s="16" t="inlineStr">
        <is>
          <t>Confidence</t>
        </is>
      </c>
      <c r="D1" s="16" t="inlineStr">
        <is>
          <t>Status</t>
        </is>
      </c>
      <c r="E1" s="16" t="inlineStr">
        <is>
          <t>OSI Layer</t>
        </is>
      </c>
      <c r="F1" s="16" t="inlineStr">
        <is>
          <t>Concept</t>
        </is>
      </c>
      <c r="G1" s="16" t="inlineStr">
        <is>
          <t>Next Command</t>
        </is>
      </c>
      <c r="H1" s="16" t="inlineStr">
        <is>
          <t>Human Review Required</t>
        </is>
      </c>
    </row>
    <row r="2" ht="20" customHeight="1">
      <c r="A2" s="17" t="inlineStr">
        <is>
          <t>CASE-001</t>
        </is>
      </c>
      <c r="B2" s="18" t="inlineStr">
        <is>
          <t>Router0 interface G0/1 (192.168.2.1) is administratively down</t>
        </is>
      </c>
      <c r="C2" s="19" t="n">
        <v>0.95</v>
      </c>
      <c r="D2" s="20" t="inlineStr">
        <is>
          <t>SUCCESS</t>
        </is>
      </c>
      <c r="E2" s="17" t="inlineStr">
        <is>
          <t>Layer 3</t>
        </is>
      </c>
      <c r="F2" s="18" t="inlineStr">
        <is>
          <t>Interface availability</t>
        </is>
      </c>
      <c r="G2" s="18" t="inlineStr">
        <is>
          <t>no shutdown</t>
        </is>
      </c>
      <c r="H2" s="17" t="inlineStr">
        <is>
          <t>True</t>
        </is>
      </c>
    </row>
    <row r="3" ht="20" customHeight="1">
      <c r="A3" s="21" t="inlineStr">
        <is>
          <t>CASE-002</t>
        </is>
      </c>
      <c r="B3" s="22" t="inlineStr">
        <is>
          <t>Incorrect default gateway IP configured on PC0</t>
        </is>
      </c>
      <c r="C3" s="23" t="n">
        <v>0.85</v>
      </c>
      <c r="D3" s="20" t="inlineStr">
        <is>
          <t>SUCCESS</t>
        </is>
      </c>
      <c r="E3" s="21" t="inlineStr">
        <is>
          <t>Layer 3</t>
        </is>
      </c>
      <c r="F3" s="22" t="inlineStr">
        <is>
          <t>Default gateway</t>
        </is>
      </c>
      <c r="G3" s="22" t="inlineStr">
        <is>
          <t>ping 192.168.1.254</t>
        </is>
      </c>
      <c r="H3" s="21" t="inlineStr">
        <is>
          <t>True</t>
        </is>
      </c>
    </row>
    <row r="4" ht="20" customHeight="1">
      <c r="A4" s="17" t="inlineStr">
        <is>
          <t>CASE-003</t>
        </is>
      </c>
      <c r="B4" s="18" t="inlineStr">
        <is>
          <t>Router-facing switch port Fa0/2 is in VLAN 1 while PC port Fa0/1 is in VLAN 10, causing VLAN isolation between PC and router</t>
        </is>
      </c>
      <c r="C4" s="19" t="n">
        <v>0.95</v>
      </c>
      <c r="D4" s="20" t="inlineStr">
        <is>
          <t>SUCCESS</t>
        </is>
      </c>
      <c r="E4" s="17" t="inlineStr">
        <is>
          <t>Layer 2</t>
        </is>
      </c>
      <c r="F4" s="18" t="inlineStr">
        <is>
          <t>VLAN</t>
        </is>
      </c>
      <c r="G4" s="18" t="inlineStr">
        <is>
          <t>show interfaces fa0/2 switchport</t>
        </is>
      </c>
      <c r="H4" s="17" t="inlineStr">
        <is>
          <t>True</t>
        </is>
      </c>
    </row>
    <row r="5" ht="20" customHeight="1">
      <c r="A5" s="21" t="inlineStr">
        <is>
          <t>CASE-004</t>
        </is>
      </c>
      <c r="B5" s="22" t="inlineStr">
        <is>
          <t>Unconfirmed routing issue or incorrect default gateway assignment</t>
        </is>
      </c>
      <c r="C5" s="23" t="n">
        <v>0.65</v>
      </c>
      <c r="D5" s="20" t="inlineStr">
        <is>
          <t>SUCCESS</t>
        </is>
      </c>
      <c r="E5" s="21" t="inlineStr">
        <is>
          <t>Layer 3</t>
        </is>
      </c>
      <c r="F5" s="22" t="inlineStr">
        <is>
          <t>Routing</t>
        </is>
      </c>
      <c r="G5" s="22" t="inlineStr">
        <is>
          <t>ping 192.168.1.254</t>
        </is>
      </c>
      <c r="H5" s="21" t="inlineStr">
        <is>
          <t>True</t>
        </is>
      </c>
    </row>
    <row r="6" ht="20" customHeight="1">
      <c r="A6" s="17" t="inlineStr">
        <is>
          <t>CASE-005</t>
        </is>
      </c>
      <c r="B6" s="18" t="inlineStr">
        <is>
          <t>Switch0 interface FastEthernet0/2 is administratively down</t>
        </is>
      </c>
      <c r="C6" s="19" t="n">
        <v>0.98</v>
      </c>
      <c r="D6" s="20" t="inlineStr">
        <is>
          <t>SUCCESS</t>
        </is>
      </c>
      <c r="E6" s="17" t="inlineStr">
        <is>
          <t>Layer 2</t>
        </is>
      </c>
      <c r="F6" s="18" t="inlineStr">
        <is>
          <t>Switch interface availability</t>
        </is>
      </c>
      <c r="G6" s="18" t="inlineStr">
        <is>
          <t>no shutdown</t>
        </is>
      </c>
      <c r="H6" s="17" t="inlineStr">
        <is>
          <t>True</t>
        </is>
      </c>
    </row>
    <row r="7" ht="20" customHeight="1">
      <c r="A7" s="21" t="inlineStr">
        <is>
          <t>CASE-006</t>
        </is>
      </c>
      <c r="B7" s="22" t="inlineStr">
        <is>
          <t>PC0 IP address is configured on a different subnet than its assigned default gateway</t>
        </is>
      </c>
      <c r="C7" s="23" t="n">
        <v>0.98</v>
      </c>
      <c r="D7" s="20" t="inlineStr">
        <is>
          <t>SUCCESS</t>
        </is>
      </c>
      <c r="E7" s="21" t="inlineStr">
        <is>
          <t>Layer 3</t>
        </is>
      </c>
      <c r="F7" s="22" t="inlineStr">
        <is>
          <t>IPv4 addressing and subnet configuration</t>
        </is>
      </c>
      <c r="G7" s="22" t="inlineStr">
        <is>
          <t>ipconfig /all</t>
        </is>
      </c>
      <c r="H7" s="21" t="inlineStr">
        <is>
          <t>True</t>
        </is>
      </c>
    </row>
    <row r="8" ht="20" customHeight="1">
      <c r="A8" s="17" t="inlineStr">
        <is>
          <t>CASE-007</t>
        </is>
      </c>
      <c r="B8" s="18" t="inlineStr">
        <is>
          <t>Incorrect subnet mask on PC0 places the default gateway outside PC0's local subnet</t>
        </is>
      </c>
      <c r="C8" s="19" t="n">
        <v>0.92</v>
      </c>
      <c r="D8" s="20" t="inlineStr">
        <is>
          <t>SUCCESS</t>
        </is>
      </c>
      <c r="E8" s="17" t="inlineStr">
        <is>
          <t>Layer 3</t>
        </is>
      </c>
      <c r="F8" s="18" t="inlineStr">
        <is>
          <t>IPv4 subnet mask configuration</t>
        </is>
      </c>
      <c r="G8" s="18" t="inlineStr">
        <is>
          <t>ipconfig /all</t>
        </is>
      </c>
      <c r="H8" s="17" t="inlineStr">
        <is>
          <t>True</t>
        </is>
      </c>
    </row>
    <row r="9" ht="20" customHeight="1">
      <c r="A9" s="21" t="inlineStr">
        <is>
          <t>CASE-008</t>
        </is>
      </c>
      <c r="B9" s="22" t="inlineStr">
        <is>
          <t>VLAN mismatch between switch ports Fa0/1 (VLAN 20) and Fa0/2 (VLAN 1)</t>
        </is>
      </c>
      <c r="C9" s="23" t="n">
        <v>0.95</v>
      </c>
      <c r="D9" s="20" t="inlineStr">
        <is>
          <t>SUCCESS</t>
        </is>
      </c>
      <c r="E9" s="21" t="inlineStr">
        <is>
          <t>Layer 2</t>
        </is>
      </c>
      <c r="F9" s="22" t="inlineStr">
        <is>
          <t>VLAN and access-port assignment</t>
        </is>
      </c>
      <c r="G9" s="22" t="inlineStr">
        <is>
          <t>show running-config interface fa0/1</t>
        </is>
      </c>
      <c r="H9" s="21" t="inlineStr">
        <is>
          <t>True</t>
        </is>
      </c>
    </row>
    <row r="10" ht="20" customHeight="1">
      <c r="A10" s="17" t="inlineStr">
        <is>
          <t>CASE-009</t>
        </is>
      </c>
      <c r="B10" s="18" t="inlineStr">
        <is>
          <t>Incorrect VLAN assignment on Switch0 interface Fa0/2 preventing traffic from reaching the default gateway</t>
        </is>
      </c>
      <c r="C10" s="19" t="n">
        <v>0.85</v>
      </c>
      <c r="D10" s="20" t="inlineStr">
        <is>
          <t>SUCCESS</t>
        </is>
      </c>
      <c r="E10" s="17" t="inlineStr">
        <is>
          <t>Layer 2</t>
        </is>
      </c>
      <c r="F10" s="18" t="inlineStr">
        <is>
          <t>VLAN and access-port assignment</t>
        </is>
      </c>
      <c r="G10" s="18" t="inlineStr">
        <is>
          <t>show vlan brief</t>
        </is>
      </c>
      <c r="H10" s="17" t="inlineStr">
        <is>
          <t>True</t>
        </is>
      </c>
    </row>
    <row r="11" ht="20" customHeight="1">
      <c r="A11" s="21" t="inlineStr">
        <is>
          <t>CASE-010</t>
        </is>
      </c>
      <c r="B11" s="22" t="inlineStr">
        <is>
          <t>Default gateway on PC0 is misconfigured as 192.168.1.254 instead of 192.168.1.1</t>
        </is>
      </c>
      <c r="C11" s="23" t="n">
        <v>0.88</v>
      </c>
      <c r="D11" s="20" t="inlineStr">
        <is>
          <t>SUCCESS</t>
        </is>
      </c>
      <c r="E11" s="21" t="inlineStr">
        <is>
          <t>Layer 3</t>
        </is>
      </c>
      <c r="F11" s="22" t="inlineStr">
        <is>
          <t>Default gateway configuration</t>
        </is>
      </c>
      <c r="G11" s="22" t="inlineStr">
        <is>
          <t>show ip interface brief</t>
        </is>
      </c>
      <c r="H11" s="21" t="inlineStr">
        <is>
          <t>True</t>
        </is>
      </c>
    </row>
    <row r="12" ht="20" customHeight="1">
      <c r="A12" s="17" t="inlineStr">
        <is>
          <t>CASE-011</t>
        </is>
      </c>
      <c r="B12" s="18" t="inlineStr">
        <is>
          <t>Incorrect DNS server IP address configured on PC0 or distributed by DHCP server</t>
        </is>
      </c>
      <c r="C12" s="19" t="n">
        <v>0.92</v>
      </c>
      <c r="D12" s="20" t="inlineStr">
        <is>
          <t>SUCCESS</t>
        </is>
      </c>
      <c r="E12" s="17" t="inlineStr">
        <is>
          <t>Layer 7</t>
        </is>
      </c>
      <c r="F12" s="18" t="inlineStr">
        <is>
          <t>DNS configuration</t>
        </is>
      </c>
      <c r="G12" s="18" t="inlineStr">
        <is>
          <t>nslookup</t>
        </is>
      </c>
      <c r="H12" s="17" t="inlineStr">
        <is>
          <t>True</t>
        </is>
      </c>
    </row>
    <row r="13" ht="20" customHeight="1">
      <c r="A13" s="21" t="inlineStr">
        <is>
          <t>CASE-012</t>
        </is>
      </c>
      <c r="B13" s="22" t="inlineStr">
        <is>
          <t>DHCP service is disabled on Server0</t>
        </is>
      </c>
      <c r="C13" s="23" t="n">
        <v>0.98</v>
      </c>
      <c r="D13" s="20" t="inlineStr">
        <is>
          <t>SUCCESS</t>
        </is>
      </c>
      <c r="E13" s="21" t="inlineStr">
        <is>
          <t>Layer 7</t>
        </is>
      </c>
      <c r="F13" s="22" t="inlineStr">
        <is>
          <t>DHCP service availability</t>
        </is>
      </c>
      <c r="G13" s="22" t="inlineStr">
        <is>
          <t>Check Server0 DHCP service status</t>
        </is>
      </c>
      <c r="H13" s="21" t="inlineStr">
        <is>
          <t>True</t>
        </is>
      </c>
    </row>
    <row r="14" ht="20" customHeight="1">
      <c r="A14" s="17" t="inlineStr">
        <is>
          <t>CASE-013</t>
        </is>
      </c>
      <c r="B14" s="18" t="inlineStr">
        <is>
          <t>The default gateway parameter in the DHCP pool on the DHCP server is misconfigured with 192.168.1.254</t>
        </is>
      </c>
      <c r="C14" s="19" t="n">
        <v>0.95</v>
      </c>
      <c r="D14" s="20" t="inlineStr">
        <is>
          <t>SUCCESS</t>
        </is>
      </c>
      <c r="E14" s="17" t="inlineStr">
        <is>
          <t>Layer 7</t>
        </is>
      </c>
      <c r="F14" s="18" t="inlineStr">
        <is>
          <t>DHCP pool configuration</t>
        </is>
      </c>
      <c r="G14" s="18" t="inlineStr">
        <is>
          <t>show running-config | section dhcp</t>
        </is>
      </c>
      <c r="H14" s="17" t="inlineStr">
        <is>
          <t>True</t>
        </is>
      </c>
    </row>
    <row r="15" ht="20" customHeight="1">
      <c r="A15" s="21" t="inlineStr">
        <is>
          <t>CASE-014</t>
        </is>
      </c>
      <c r="B15" s="22" t="inlineStr">
        <is>
          <t>DHCP server is configured with an incorrect DNS server IP address (192.168.1.254)</t>
        </is>
      </c>
      <c r="C15" s="23" t="n">
        <v>0.95</v>
      </c>
      <c r="D15" s="20" t="inlineStr">
        <is>
          <t>SUCCESS</t>
        </is>
      </c>
      <c r="E15" s="21" t="inlineStr">
        <is>
          <t>Layer 7</t>
        </is>
      </c>
      <c r="F15" s="22" t="inlineStr">
        <is>
          <t>DHCP and DNS configuration</t>
        </is>
      </c>
      <c r="G15" s="22" t="inlineStr">
        <is>
          <t>Check DHCP pool options on Server0 (192.168.2.10)</t>
        </is>
      </c>
      <c r="H15" s="21" t="inlineStr">
        <is>
          <t>True</t>
        </is>
      </c>
    </row>
    <row r="16" ht="20" customHeight="1">
      <c r="A16" s="17" t="inlineStr">
        <is>
          <t>CASE-015</t>
        </is>
      </c>
      <c r="B16" s="18" t="inlineStr">
        <is>
          <t>Server0 default gateway (192.168.2.1) is configured on a different subnet than its IPv4 address (192.168.3.10/24)</t>
        </is>
      </c>
      <c r="C16" s="19" t="n">
        <v>0.95</v>
      </c>
      <c r="D16" s="20" t="inlineStr">
        <is>
          <t>SUCCESS</t>
        </is>
      </c>
      <c r="E16" s="17" t="inlineStr">
        <is>
          <t>Layer 3</t>
        </is>
      </c>
      <c r="F16" s="18" t="inlineStr">
        <is>
          <t>Server IPv4 addressing</t>
        </is>
      </c>
      <c r="G16" s="18" t="inlineStr">
        <is>
          <t>ipconfig /all</t>
        </is>
      </c>
      <c r="H16" s="17" t="inlineStr">
        <is>
          <t>True</t>
        </is>
      </c>
    </row>
    <row r="17" ht="20" customHeight="1">
      <c r="A17" s="21" t="inlineStr">
        <is>
          <t>CASE-016</t>
        </is>
      </c>
      <c r="B17" s="22" t="inlineStr">
        <is>
          <t>Server0 is configured with an incorrect default gateway</t>
        </is>
      </c>
      <c r="C17" s="23" t="n">
        <v>0.95</v>
      </c>
      <c r="D17" s="20" t="inlineStr">
        <is>
          <t>SUCCESS</t>
        </is>
      </c>
      <c r="E17" s="21" t="inlineStr">
        <is>
          <t>Layer 3</t>
        </is>
      </c>
      <c r="F17" s="22" t="inlineStr">
        <is>
          <t>Default Gateway</t>
        </is>
      </c>
      <c r="G17" s="22" t="inlineStr">
        <is>
          <t>ipconfig /all</t>
        </is>
      </c>
      <c r="H17" s="21" t="inlineStr">
        <is>
          <t>True</t>
        </is>
      </c>
    </row>
    <row r="18" ht="20" customHeight="1">
      <c r="A18" s="17" t="inlineStr">
        <is>
          <t>CASE-017</t>
        </is>
      </c>
      <c r="B18" s="18" t="inlineStr">
        <is>
          <t>Incorrect subnet mask configured on Server0</t>
        </is>
      </c>
      <c r="C18" s="19" t="n">
        <v>0.92</v>
      </c>
      <c r="D18" s="20" t="inlineStr">
        <is>
          <t>SUCCESS</t>
        </is>
      </c>
      <c r="E18" s="17" t="inlineStr">
        <is>
          <t>Layer 3</t>
        </is>
      </c>
      <c r="F18" s="18" t="inlineStr">
        <is>
          <t>Server subnet mask configuration</t>
        </is>
      </c>
      <c r="G18" s="18" t="inlineStr">
        <is>
          <t>show ip interface brief</t>
        </is>
      </c>
      <c r="H18" s="17" t="inlineStr">
        <is>
          <t>True</t>
        </is>
      </c>
    </row>
    <row r="19" ht="20" customHeight="1">
      <c r="A19" s="21" t="inlineStr">
        <is>
          <t>CASE-018</t>
        </is>
      </c>
      <c r="B19" s="22" t="inlineStr">
        <is>
          <t>Server0 default gateway is misconfigured as 192.168.2.254 instead of 192.168.2.1</t>
        </is>
      </c>
      <c r="C19" s="23" t="n">
        <v>0.95</v>
      </c>
      <c r="D19" s="20" t="inlineStr">
        <is>
          <t>SUCCESS</t>
        </is>
      </c>
      <c r="E19" s="21" t="inlineStr">
        <is>
          <t>Layer 3</t>
        </is>
      </c>
      <c r="F19" s="22" t="inlineStr">
        <is>
          <t>Default gateway</t>
        </is>
      </c>
      <c r="G19" s="22" t="inlineStr">
        <is>
          <t>Verify router interface IP on Router0</t>
        </is>
      </c>
      <c r="H19" s="21" t="inlineStr">
        <is>
          <t>True</t>
        </is>
      </c>
    </row>
    <row r="20" ht="20" customHeight="1">
      <c r="A20" s="17" t="inlineStr">
        <is>
          <t>CASE-019</t>
        </is>
      </c>
      <c r="B20" s="18" t="inlineStr">
        <is>
          <t>Router interface GigabitEthernet0/1 is administratively down</t>
        </is>
      </c>
      <c r="C20" s="19" t="n">
        <v>0.98</v>
      </c>
      <c r="D20" s="20" t="inlineStr">
        <is>
          <t>SUCCESS</t>
        </is>
      </c>
      <c r="E20" s="17" t="inlineStr">
        <is>
          <t>Layer 3</t>
        </is>
      </c>
      <c r="F20" s="18" t="inlineStr">
        <is>
          <t>Router interface availability</t>
        </is>
      </c>
      <c r="G20" s="18" t="inlineStr">
        <is>
          <t>no shutdown</t>
        </is>
      </c>
      <c r="H20" s="17" t="inlineStr">
        <is>
          <t>True</t>
        </is>
      </c>
    </row>
    <row r="21" ht="20" customHeight="1">
      <c r="A21" s="21" t="inlineStr">
        <is>
          <t>CASE-020</t>
        </is>
      </c>
      <c r="B21" s="22" t="inlineStr">
        <is>
          <t>Switch port Fa0/1 is administratively shut down</t>
        </is>
      </c>
      <c r="C21" s="23" t="n">
        <v>0.98</v>
      </c>
      <c r="D21" s="20" t="inlineStr">
        <is>
          <t>SUCCESS</t>
        </is>
      </c>
      <c r="E21" s="21" t="inlineStr">
        <is>
          <t>Layer 2</t>
        </is>
      </c>
      <c r="F21" s="22" t="inlineStr">
        <is>
          <t>Switch interface availability</t>
        </is>
      </c>
      <c r="G21" s="22" t="inlineStr">
        <is>
          <t>show interface FastEthernet0/1</t>
        </is>
      </c>
      <c r="H21" s="21" t="inlineStr">
        <is>
          <t>True</t>
        </is>
      </c>
    </row>
    <row r="22" ht="20" customHeight="1">
      <c r="A22" s="17" t="inlineStr">
        <is>
          <t>CASE-021</t>
        </is>
      </c>
      <c r="B22" s="18" t="inlineStr">
        <is>
          <t>Router interface GigabitEthernet0/0 is configured with an incorrect IP address (192.168.10.1 instead of 192.168.1.1)</t>
        </is>
      </c>
      <c r="C22" s="19" t="n">
        <v>0.98</v>
      </c>
      <c r="D22" s="20" t="inlineStr">
        <is>
          <t>SUCCESS</t>
        </is>
      </c>
      <c r="E22" s="17" t="inlineStr">
        <is>
          <t>Layer 3</t>
        </is>
      </c>
      <c r="F22" s="18" t="inlineStr">
        <is>
          <t>Router interface IPv4 addressing</t>
        </is>
      </c>
      <c r="G22" s="18" t="inlineStr">
        <is>
          <t>show ip interface brief</t>
        </is>
      </c>
      <c r="H22" s="17" t="inlineStr">
        <is>
          <t>True</t>
        </is>
      </c>
    </row>
    <row r="23" ht="20" customHeight="1">
      <c r="A23" s="21" t="inlineStr">
        <is>
          <t>CASE-022</t>
        </is>
      </c>
      <c r="B23" s="22" t="inlineStr">
        <is>
          <t>Router0 interface GigabitEthernet0/1 is configured with an incorrect IP address (192.168.20.1) outside the Server0 subnet (192.168.2.0/24)</t>
        </is>
      </c>
      <c r="C23" s="23" t="n">
        <v>0.95</v>
      </c>
      <c r="D23" s="20" t="inlineStr">
        <is>
          <t>SUCCESS</t>
        </is>
      </c>
      <c r="E23" s="21" t="inlineStr">
        <is>
          <t>Layer 3</t>
        </is>
      </c>
      <c r="F23" s="22" t="inlineStr">
        <is>
          <t>Router interface IPv4 addressing</t>
        </is>
      </c>
      <c r="G23" s="22" t="inlineStr">
        <is>
          <t>show ip interface brief</t>
        </is>
      </c>
      <c r="H23" s="21" t="inlineStr">
        <is>
          <t>True</t>
        </is>
      </c>
    </row>
    <row r="24" ht="20" customHeight="1">
      <c r="A24" s="17" t="inlineStr">
        <is>
          <t>CASE-023</t>
        </is>
      </c>
      <c r="B24" s="18" t="inlineStr">
        <is>
          <t>PC0 is configured with an IP address (192.168.3.100/24) on a different subnet than its default gateway (192.168.1.1/24)</t>
        </is>
      </c>
      <c r="C24" s="19" t="n">
        <v>0.95</v>
      </c>
      <c r="D24" s="20" t="inlineStr">
        <is>
          <t>SUCCESS</t>
        </is>
      </c>
      <c r="E24" s="17" t="inlineStr">
        <is>
          <t>Layer 3</t>
        </is>
      </c>
      <c r="F24" s="18" t="inlineStr">
        <is>
          <t>PC IPv4 addressing</t>
        </is>
      </c>
      <c r="G24" s="18" t="inlineStr">
        <is>
          <t>ipconfig</t>
        </is>
      </c>
      <c r="H24" s="17" t="inlineStr">
        <is>
          <t>True</t>
        </is>
      </c>
    </row>
    <row r="25" ht="20" customHeight="1">
      <c r="A25" s="21" t="inlineStr">
        <is>
          <t>CASE-024</t>
        </is>
      </c>
      <c r="B25" s="22" t="inlineStr">
        <is>
          <t>DNS service is disabled on Server0</t>
        </is>
      </c>
      <c r="C25" s="23" t="n">
        <v>0.98</v>
      </c>
      <c r="D25" s="20" t="inlineStr">
        <is>
          <t>SUCCESS</t>
        </is>
      </c>
      <c r="E25" s="21" t="inlineStr">
        <is>
          <t>Layer 7</t>
        </is>
      </c>
      <c r="F25" s="22" t="inlineStr">
        <is>
          <t>DNS service availability</t>
        </is>
      </c>
      <c r="G25" s="22" t="inlineStr">
        <is>
          <t>Check Server0 DNS service status</t>
        </is>
      </c>
      <c r="H25" s="21" t="inlineStr">
        <is>
          <t>True</t>
        </is>
      </c>
    </row>
    <row r="26" ht="20" customHeight="1">
      <c r="A26" s="17" t="inlineStr">
        <is>
          <t>CASE-025</t>
        </is>
      </c>
      <c r="B26" s="18" t="inlineStr">
        <is>
          <t>HTTP service is disabled on Server0</t>
        </is>
      </c>
      <c r="C26" s="19" t="n">
        <v>0.98</v>
      </c>
      <c r="D26" s="20" t="inlineStr">
        <is>
          <t>SUCCESS</t>
        </is>
      </c>
      <c r="E26" s="17" t="inlineStr">
        <is>
          <t>Layer 7</t>
        </is>
      </c>
      <c r="F26" s="18" t="inlineStr">
        <is>
          <t>HTTP service availability</t>
        </is>
      </c>
      <c r="G26" s="18" t="inlineStr">
        <is>
          <t>Check HTTP service status on Server0</t>
        </is>
      </c>
      <c r="H26" s="17" t="inlineStr">
        <is>
          <t>True</t>
        </is>
      </c>
    </row>
    <row r="27" ht="20" customHeight="1">
      <c r="A27" s="21" t="inlineStr">
        <is>
          <t>CASE-026</t>
        </is>
      </c>
      <c r="B27" s="22" t="inlineStr">
        <is>
          <t>DHCP service is disabled on the server</t>
        </is>
      </c>
      <c r="C27" s="23" t="n">
        <v>0.98</v>
      </c>
      <c r="D27" s="20" t="inlineStr">
        <is>
          <t>SUCCESS</t>
        </is>
      </c>
      <c r="E27" s="21" t="inlineStr">
        <is>
          <t>Layer 7</t>
        </is>
      </c>
      <c r="F27" s="22" t="inlineStr">
        <is>
          <t>DHCP service availability</t>
        </is>
      </c>
      <c r="G27" s="22" t="inlineStr">
        <is>
          <t>Check Server0 DHCP service status</t>
        </is>
      </c>
      <c r="H27" s="21" t="inlineStr">
        <is>
          <t>True</t>
        </is>
      </c>
    </row>
    <row r="28" ht="20" customHeight="1">
      <c r="A28" s="17" t="inlineStr">
        <is>
          <t>CASE-027</t>
        </is>
      </c>
      <c r="B28" s="18" t="inlineStr">
        <is>
          <t>The DHCP server pool is configured with an incorrect default gateway (192.168.1.254 instead of 192.168.1.1)</t>
        </is>
      </c>
      <c r="C28" s="19" t="n">
        <v>0.95</v>
      </c>
      <c r="D28" s="20" t="inlineStr">
        <is>
          <t>SUCCESS</t>
        </is>
      </c>
      <c r="E28" s="17" t="inlineStr">
        <is>
          <t>Layer 3</t>
        </is>
      </c>
      <c r="F28" s="18" t="inlineStr">
        <is>
          <t>DHCP default gateway configuration</t>
        </is>
      </c>
      <c r="G28" s="18" t="inlineStr">
        <is>
          <t>show run | section dhcp</t>
        </is>
      </c>
      <c r="H28" s="17" t="inlineStr">
        <is>
          <t>True</t>
        </is>
      </c>
    </row>
    <row r="29" ht="20" customHeight="1">
      <c r="A29" s="21" t="inlineStr">
        <is>
          <t>CASE-028</t>
        </is>
      </c>
      <c r="B29" s="22" t="inlineStr">
        <is>
          <t>DHCP pool is configured with an incorrect DNS server IP address (192.168.1.254)</t>
        </is>
      </c>
      <c r="C29" s="23" t="n">
        <v>0.95</v>
      </c>
      <c r="D29" s="20" t="inlineStr">
        <is>
          <t>SUCCESS</t>
        </is>
      </c>
      <c r="E29" s="21" t="inlineStr">
        <is>
          <t>Layer 7</t>
        </is>
      </c>
      <c r="F29" s="22" t="inlineStr">
        <is>
          <t>DHCP DNS server configuration</t>
        </is>
      </c>
      <c r="G29" s="22" t="inlineStr">
        <is>
          <t>show ip dhcp pool</t>
        </is>
      </c>
      <c r="H29" s="21" t="inlineStr">
        <is>
          <t>True</t>
        </is>
      </c>
    </row>
    <row r="30" ht="20" customHeight="1">
      <c r="A30" s="17" t="inlineStr">
        <is>
          <t>CASE-029</t>
        </is>
      </c>
      <c r="B30" s="18" t="inlineStr">
        <is>
          <t>FTP service is disabled on Server0</t>
        </is>
      </c>
      <c r="C30" s="19" t="n">
        <v>0.98</v>
      </c>
      <c r="D30" s="20" t="inlineStr">
        <is>
          <t>SUCCESS</t>
        </is>
      </c>
      <c r="E30" s="17" t="inlineStr">
        <is>
          <t>Layer 7</t>
        </is>
      </c>
      <c r="F30" s="18" t="inlineStr">
        <is>
          <t>FTP service availability</t>
        </is>
      </c>
      <c r="G30" s="18" t="inlineStr">
        <is>
          <t>Check Server0 FTP service status</t>
        </is>
      </c>
      <c r="H30" s="17" t="inlineStr">
        <is>
          <t>True</t>
        </is>
      </c>
    </row>
    <row r="31" ht="20" customHeight="1">
      <c r="A31" s="21" t="inlineStr">
        <is>
          <t>CASE-030</t>
        </is>
      </c>
      <c r="B31" s="22" t="inlineStr">
        <is>
          <t>The client is using invalid FTP credentials or the user account does not exist on the FTP server</t>
        </is>
      </c>
      <c r="C31" s="23" t="n">
        <v>0.95</v>
      </c>
      <c r="D31" s="20" t="inlineStr">
        <is>
          <t>SUCCESS</t>
        </is>
      </c>
      <c r="E31" s="21" t="inlineStr">
        <is>
          <t>Layer 7</t>
        </is>
      </c>
      <c r="F31" s="22" t="inlineStr">
        <is>
          <t>FTP authentication</t>
        </is>
      </c>
      <c r="G31" s="22" t="inlineStr">
        <is>
          <t>Check Server0 FTP user accounts</t>
        </is>
      </c>
      <c r="H31" s="21" t="inlineStr">
        <is>
          <t>True</t>
        </is>
      </c>
    </row>
    <row r="32" ht="20" customHeight="1">
      <c r="A32" s="17" t="inlineStr">
        <is>
          <t>CASE-031</t>
        </is>
      </c>
      <c r="B32" s="18" t="inlineStr">
        <is>
          <t>FTP user does not have Read permission on the FTP server</t>
        </is>
      </c>
      <c r="C32" s="19" t="n">
        <v>0.97</v>
      </c>
      <c r="D32" s="20" t="inlineStr">
        <is>
          <t>SUCCESS</t>
        </is>
      </c>
      <c r="E32" s="17" t="inlineStr">
        <is>
          <t>Layer 7</t>
        </is>
      </c>
      <c r="F32" s="18" t="inlineStr">
        <is>
          <t>FTP file access permission</t>
        </is>
      </c>
      <c r="G32" s="18" t="inlineStr">
        <is>
          <t>Check FTP user Read permission on Server0</t>
        </is>
      </c>
      <c r="H32" s="17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34074"/>
    <outlinePr summaryBelow="1" summaryRight="1"/>
    <pageSetUpPr/>
  </sheetPr>
  <dimension ref="A1:H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8" customWidth="1" min="2" max="2"/>
    <col width="44" customWidth="1" min="3" max="3"/>
    <col width="34" customWidth="1" min="4" max="4"/>
    <col width="146" customWidth="1" min="5" max="5"/>
    <col width="16" customWidth="1" min="6" max="6"/>
    <col width="14" customWidth="1" min="7" max="7"/>
    <col width="15" customWidth="1" min="8" max="8"/>
  </cols>
  <sheetData>
    <row r="1" ht="26" customHeight="1">
      <c r="A1" s="16" t="inlineStr">
        <is>
          <t>Case ID</t>
        </is>
      </c>
      <c r="B1" s="16" t="inlineStr">
        <is>
          <t>Expected Fault</t>
        </is>
      </c>
      <c r="C1" s="16" t="inlineStr">
        <is>
          <t>Concept Tag</t>
        </is>
      </c>
      <c r="D1" s="16" t="inlineStr">
        <is>
          <t>Detected Concepts</t>
        </is>
      </c>
      <c r="E1" s="16" t="inlineStr">
        <is>
          <t>Rule Findings</t>
        </is>
      </c>
      <c r="F1" s="16" t="inlineStr">
        <is>
          <t>Issues Found</t>
        </is>
      </c>
      <c r="G1" s="16" t="inlineStr">
        <is>
          <t>Comparison</t>
        </is>
      </c>
      <c r="H1" s="16" t="inlineStr">
        <is>
          <t>Status</t>
        </is>
      </c>
    </row>
    <row r="2" ht="20" customHeight="1">
      <c r="A2" s="17" t="inlineStr">
        <is>
          <t>CASE-001</t>
        </is>
      </c>
      <c r="B2" s="18" t="inlineStr">
        <is>
          <t>Router GigabitEthernet0/1 is administratively shut down</t>
        </is>
      </c>
      <c r="C2" s="17" t="inlineStr">
        <is>
          <t>Interface availability</t>
        </is>
      </c>
      <c r="D2" s="18" t="inlineStr">
        <is>
          <t>interface, nat</t>
        </is>
      </c>
      <c r="E2" s="18" t="inlineStr">
        <is>
          <t>Interface/port status issue detected | NAT issue detected</t>
        </is>
      </c>
      <c r="F2" s="24" t="n">
        <v>2</v>
      </c>
      <c r="G2" s="20" t="inlineStr">
        <is>
          <t>MATCH</t>
        </is>
      </c>
      <c r="H2" s="17" t="inlineStr">
        <is>
          <t>ISSUE_FOUND</t>
        </is>
      </c>
    </row>
    <row r="3" ht="20" customHeight="1">
      <c r="A3" s="21" t="inlineStr">
        <is>
          <t>CASE-002</t>
        </is>
      </c>
      <c r="B3" s="22" t="inlineStr">
        <is>
          <t>PC has an incorrect default gateway; correct gateway is 192.168.1.1</t>
        </is>
      </c>
      <c r="C3" s="21" t="inlineStr">
        <is>
          <t>Default gateway and routing</t>
        </is>
      </c>
      <c r="D3" s="22" t="inlineStr">
        <is>
          <t>gateway</t>
        </is>
      </c>
      <c r="E3" s="22" t="inlineStr">
        <is>
          <t>Default gateway issue detected</t>
        </is>
      </c>
      <c r="F3" s="25" t="n">
        <v>1</v>
      </c>
      <c r="G3" s="20" t="inlineStr">
        <is>
          <t>MATCH</t>
        </is>
      </c>
      <c r="H3" s="21" t="inlineStr">
        <is>
          <t>ISSUE_FOUND</t>
        </is>
      </c>
    </row>
    <row r="4" ht="20" customHeight="1">
      <c r="A4" s="17" t="inlineStr">
        <is>
          <t>CASE-003</t>
        </is>
      </c>
      <c r="B4" s="18" t="inlineStr">
        <is>
          <t>PC-facing switch port Fa0/1 was assigned to VLAN 10 while the router-facing path remained in VLAN 1</t>
        </is>
      </c>
      <c r="C4" s="17" t="inlineStr">
        <is>
          <t>VLAN and access-port assignment</t>
        </is>
      </c>
      <c r="D4" s="18" t="inlineStr">
        <is>
          <t>vlan, routing</t>
        </is>
      </c>
      <c r="E4" s="18" t="inlineStr">
        <is>
          <t>VLAN configuration issue detected | Routing issue detected</t>
        </is>
      </c>
      <c r="F4" s="24" t="n">
        <v>2</v>
      </c>
      <c r="G4" s="20" t="inlineStr">
        <is>
          <t>MATCH</t>
        </is>
      </c>
      <c r="H4" s="17" t="inlineStr">
        <is>
          <t>ISSUE_FOUND</t>
        </is>
      </c>
    </row>
    <row r="5" ht="20" customHeight="1">
      <c r="A5" s="21" t="inlineStr">
        <is>
          <t>CASE-004</t>
        </is>
      </c>
      <c r="B5" s="22" t="inlineStr">
        <is>
          <t>DHCP pool provides an incorrect default gateway; correct gateway is 192.168.1.1</t>
        </is>
      </c>
      <c r="C5" s="21" t="inlineStr">
        <is>
          <t>DHCP gateway option and routing</t>
        </is>
      </c>
      <c r="D5" s="22" t="inlineStr">
        <is>
          <t>gateway, ip, subnet</t>
        </is>
      </c>
      <c r="E5" s="22" t="inlineStr">
        <is>
          <t>Default gateway issue detected | IP addressing issue detected | Subnet configuration issue detected</t>
        </is>
      </c>
      <c r="F5" s="25" t="n">
        <v>3</v>
      </c>
      <c r="G5" s="20" t="inlineStr">
        <is>
          <t>MATCH</t>
        </is>
      </c>
      <c r="H5" s="21" t="inlineStr">
        <is>
          <t>ISSUE_FOUND</t>
        </is>
      </c>
    </row>
    <row r="6" ht="20" customHeight="1">
      <c r="A6" s="17" t="inlineStr">
        <is>
          <t>CASE-005</t>
        </is>
      </c>
      <c r="B6" s="18" t="inlineStr">
        <is>
          <t>Switch FastEthernet0/2 was administratively shut down</t>
        </is>
      </c>
      <c r="C6" s="17" t="inlineStr">
        <is>
          <t>Switch interface availability</t>
        </is>
      </c>
      <c r="D6" s="18" t="inlineStr">
        <is>
          <t>interface</t>
        </is>
      </c>
      <c r="E6" s="18" t="inlineStr">
        <is>
          <t>Interface/port status issue detected</t>
        </is>
      </c>
      <c r="F6" s="24" t="n">
        <v>1</v>
      </c>
      <c r="G6" s="20" t="inlineStr">
        <is>
          <t>MATCH</t>
        </is>
      </c>
      <c r="H6" s="17" t="inlineStr">
        <is>
          <t>ISSUE_FOUND</t>
        </is>
      </c>
    </row>
    <row r="7" ht="20" customHeight="1">
      <c r="A7" s="21" t="inlineStr">
        <is>
          <t>CASE-006</t>
        </is>
      </c>
      <c r="B7" s="22" t="inlineStr">
        <is>
          <t>PC0 is configured in the wrong IP subnet</t>
        </is>
      </c>
      <c r="C7" s="21" t="inlineStr">
        <is>
          <t>IPv4 addressing and subnet configuration</t>
        </is>
      </c>
      <c r="D7" s="22" t="inlineStr">
        <is>
          <t>gateway</t>
        </is>
      </c>
      <c r="E7" s="22" t="inlineStr">
        <is>
          <t>Default gateway issue detected</t>
        </is>
      </c>
      <c r="F7" s="25" t="n">
        <v>1</v>
      </c>
      <c r="G7" s="26" t="inlineStr">
        <is>
          <t>MISMATCH</t>
        </is>
      </c>
      <c r="H7" s="21" t="inlineStr">
        <is>
          <t>ISSUE_FOUND</t>
        </is>
      </c>
    </row>
    <row r="8" ht="20" customHeight="1">
      <c r="A8" s="17" t="inlineStr">
        <is>
          <t>CASE-007</t>
        </is>
      </c>
      <c r="B8" s="18" t="inlineStr">
        <is>
          <t>PC0 has an incorrect subnet mask (255.255.255.224) causing incorrect subnet interpretation and preventing communication with the 192.168.2.0/24 remote network</t>
        </is>
      </c>
      <c r="C8" s="17" t="inlineStr">
        <is>
          <t>IPv4 subnet mask configuration</t>
        </is>
      </c>
      <c r="D8" s="18" t="inlineStr">
        <is>
          <t>gateway, ip, subnet</t>
        </is>
      </c>
      <c r="E8" s="18" t="inlineStr">
        <is>
          <t>Default gateway issue detected | IP addressing issue detected | Subnet configuration issue detected</t>
        </is>
      </c>
      <c r="F8" s="24" t="n">
        <v>3</v>
      </c>
      <c r="G8" s="20" t="inlineStr">
        <is>
          <t>MATCH</t>
        </is>
      </c>
      <c r="H8" s="17" t="inlineStr">
        <is>
          <t>ISSUE_FOUND</t>
        </is>
      </c>
    </row>
    <row r="9" ht="20" customHeight="1">
      <c r="A9" s="21" t="inlineStr">
        <is>
          <t>CASE-008</t>
        </is>
      </c>
      <c r="B9" s="22" t="inlineStr">
        <is>
          <t>PC-facing switch port Fa0/1 is assigned to VLAN 20 instead of the required VLAN 1, isolating the PC from its gateway</t>
        </is>
      </c>
      <c r="C9" s="21" t="inlineStr">
        <is>
          <t>VLAN and access-port assignment</t>
        </is>
      </c>
      <c r="D9" s="22" t="inlineStr">
        <is>
          <t>vlan</t>
        </is>
      </c>
      <c r="E9" s="22" t="inlineStr">
        <is>
          <t>VLAN configuration issue detected</t>
        </is>
      </c>
      <c r="F9" s="25" t="n">
        <v>1</v>
      </c>
      <c r="G9" s="20" t="inlineStr">
        <is>
          <t>MATCH</t>
        </is>
      </c>
      <c r="H9" s="21" t="inlineStr">
        <is>
          <t>ISSUE_FOUND</t>
        </is>
      </c>
    </row>
    <row r="10" ht="20" customHeight="1">
      <c r="A10" s="17" t="inlineStr">
        <is>
          <t>CASE-009</t>
        </is>
      </c>
      <c r="B10" s="18" t="inlineStr">
        <is>
          <t>Router-facing switch port Fa0/2 is assigned to VLAN 10 instead of VLAN 1, preventing the PC's traffic from reaching the router interface</t>
        </is>
      </c>
      <c r="C10" s="17" t="inlineStr">
        <is>
          <t>VLAN and access-port assignment</t>
        </is>
      </c>
      <c r="D10" s="18" t="inlineStr">
        <is>
          <t>vlan</t>
        </is>
      </c>
      <c r="E10" s="18" t="inlineStr">
        <is>
          <t>VLAN configuration issue detected</t>
        </is>
      </c>
      <c r="F10" s="24" t="n">
        <v>1</v>
      </c>
      <c r="G10" s="20" t="inlineStr">
        <is>
          <t>MATCH</t>
        </is>
      </c>
      <c r="H10" s="17" t="inlineStr">
        <is>
          <t>ISSUE_FOUND</t>
        </is>
      </c>
    </row>
    <row r="11" ht="20" customHeight="1">
      <c r="A11" s="21" t="inlineStr">
        <is>
          <t>CASE-010</t>
        </is>
      </c>
      <c r="B11" s="22" t="inlineStr">
        <is>
          <t>PC0 has an incorrect default gateway (192.168.1.254 instead of 192.168.1.1), preventing traffic from reaching the remote network</t>
        </is>
      </c>
      <c r="C11" s="21" t="inlineStr">
        <is>
          <t>Default gateway configuration</t>
        </is>
      </c>
      <c r="D11" s="22" t="inlineStr">
        <is>
          <t>gateway, ip, subnet</t>
        </is>
      </c>
      <c r="E11" s="22" t="inlineStr">
        <is>
          <t>Default gateway issue detected | IP addressing issue detected | Subnet configuration issue detected</t>
        </is>
      </c>
      <c r="F11" s="25" t="n">
        <v>3</v>
      </c>
      <c r="G11" s="20" t="inlineStr">
        <is>
          <t>MATCH</t>
        </is>
      </c>
      <c r="H11" s="21" t="inlineStr">
        <is>
          <t>ISSUE_FOUND</t>
        </is>
      </c>
    </row>
    <row r="12" ht="20" customHeight="1">
      <c r="A12" s="17" t="inlineStr">
        <is>
          <t>CASE-011</t>
        </is>
      </c>
      <c r="B12" s="18" t="inlineStr">
        <is>
          <t>PC0 is configured with an incorrect DNS server address (192.168.1.254 instead of 192.168.2.10), which can cause hostname resolution failures</t>
        </is>
      </c>
      <c r="C12" s="17" t="inlineStr">
        <is>
          <t>DNS configuration</t>
        </is>
      </c>
      <c r="D12" s="18" t="inlineStr">
        <is>
          <t>gateway, ip, dhcp, dns</t>
        </is>
      </c>
      <c r="E12" s="18" t="inlineStr">
        <is>
          <t>Default gateway issue detected | IP addressing issue detected | DHCP issue detected | DNS issue detected</t>
        </is>
      </c>
      <c r="F12" s="24" t="n">
        <v>4</v>
      </c>
      <c r="G12" s="20" t="inlineStr">
        <is>
          <t>MATCH</t>
        </is>
      </c>
      <c r="H12" s="17" t="inlineStr">
        <is>
          <t>ISSUE_FOUND</t>
        </is>
      </c>
    </row>
    <row r="13" ht="20" customHeight="1">
      <c r="A13" s="21" t="inlineStr">
        <is>
          <t>CASE-012</t>
        </is>
      </c>
      <c r="B13" s="22" t="inlineStr">
        <is>
          <t>DHCP service is unavailable on Server0, so PC0 cannot obtain a valid network configuration automatically</t>
        </is>
      </c>
      <c r="C13" s="21" t="inlineStr">
        <is>
          <t>DHCP service availability</t>
        </is>
      </c>
      <c r="D13" s="22" t="inlineStr">
        <is>
          <t>gateway, dhcp</t>
        </is>
      </c>
      <c r="E13" s="22" t="inlineStr">
        <is>
          <t>Default gateway issue detected | DHCP issue detected</t>
        </is>
      </c>
      <c r="F13" s="25" t="n">
        <v>2</v>
      </c>
      <c r="G13" s="20" t="inlineStr">
        <is>
          <t>MATCH</t>
        </is>
      </c>
      <c r="H13" s="21" t="inlineStr">
        <is>
          <t>ISSUE_FOUND</t>
        </is>
      </c>
    </row>
    <row r="14" ht="20" customHeight="1">
      <c r="A14" s="17" t="inlineStr">
        <is>
          <t>CASE-013</t>
        </is>
      </c>
      <c r="B14" s="18" t="inlineStr">
        <is>
          <t>DHCP pool is configured with an incorrect default gateway (192.168.1.254 instead of 192.168.1.1)</t>
        </is>
      </c>
      <c r="C14" s="17" t="inlineStr">
        <is>
          <t>DHCP pool configuration</t>
        </is>
      </c>
      <c r="D14" s="18" t="inlineStr">
        <is>
          <t>gateway, ip, subnet, dhcp</t>
        </is>
      </c>
      <c r="E14" s="18" t="inlineStr">
        <is>
          <t>Default gateway issue detected | IP addressing issue detected | Subnet configuration issue detected | DHCP issue detected</t>
        </is>
      </c>
      <c r="F14" s="24" t="n">
        <v>4</v>
      </c>
      <c r="G14" s="20" t="inlineStr">
        <is>
          <t>MATCH</t>
        </is>
      </c>
      <c r="H14" s="17" t="inlineStr">
        <is>
          <t>ISSUE_FOUND</t>
        </is>
      </c>
    </row>
    <row r="15" ht="20" customHeight="1">
      <c r="A15" s="21" t="inlineStr">
        <is>
          <t>CASE-014</t>
        </is>
      </c>
      <c r="B15" s="22" t="inlineStr">
        <is>
          <t>DHCP pool is configured with an incorrect DNS server address (192.168.1.254 instead of the intended DNS server), causing incorrect DNS configuration to be assigned to clients</t>
        </is>
      </c>
      <c r="C15" s="21" t="inlineStr">
        <is>
          <t>DHCP and DNS configuration</t>
        </is>
      </c>
      <c r="D15" s="22" t="inlineStr">
        <is>
          <t>gateway, ip, subnet, dhcp, dns</t>
        </is>
      </c>
      <c r="E15" s="22" t="inlineStr">
        <is>
          <t>Default gateway issue detected | IP addressing issue detected | Subnet configuration issue detected | DHCP issue detected | DNS issue detected</t>
        </is>
      </c>
      <c r="F15" s="25" t="n">
        <v>5</v>
      </c>
      <c r="G15" s="20" t="inlineStr">
        <is>
          <t>MATCH</t>
        </is>
      </c>
      <c r="H15" s="21" t="inlineStr">
        <is>
          <t>ISSUE_FOUND</t>
        </is>
      </c>
    </row>
    <row r="16" ht="20" customHeight="1">
      <c r="A16" s="17" t="inlineStr">
        <is>
          <t>CASE-015</t>
        </is>
      </c>
      <c r="B16" s="18" t="inlineStr">
        <is>
          <t>Server0 is configured with an IP address from the wrong subnet (192.168.3.0/24) instead of 192.168.2.0/24</t>
        </is>
      </c>
      <c r="C16" s="17" t="inlineStr">
        <is>
          <t>Server IPv4 addressing</t>
        </is>
      </c>
      <c r="D16" s="18" t="inlineStr">
        <is>
          <t>gateway, ip, subnet</t>
        </is>
      </c>
      <c r="E16" s="18" t="inlineStr">
        <is>
          <t>Default gateway issue detected | IP addressing issue detected | Subnet configuration issue detected</t>
        </is>
      </c>
      <c r="F16" s="24" t="n">
        <v>3</v>
      </c>
      <c r="G16" s="20" t="inlineStr">
        <is>
          <t>MATCH</t>
        </is>
      </c>
      <c r="H16" s="17" t="inlineStr">
        <is>
          <t>ISSUE_FOUND</t>
        </is>
      </c>
    </row>
    <row r="17" ht="20" customHeight="1">
      <c r="A17" s="21" t="inlineStr">
        <is>
          <t>CASE-016</t>
        </is>
      </c>
      <c r="B17" s="22" t="inlineStr">
        <is>
          <t>Server0 has a wrong default gateway</t>
        </is>
      </c>
      <c r="C17" s="21" t="inlineStr">
        <is>
          <t>Default Gateway</t>
        </is>
      </c>
      <c r="D17" s="22" t="inlineStr">
        <is>
          <t>gateway, routing</t>
        </is>
      </c>
      <c r="E17" s="22" t="inlineStr">
        <is>
          <t>Default gateway issue detected | Routing issue detected</t>
        </is>
      </c>
      <c r="F17" s="25" t="n">
        <v>2</v>
      </c>
      <c r="G17" s="20" t="inlineStr">
        <is>
          <t>MATCH</t>
        </is>
      </c>
      <c r="H17" s="21" t="inlineStr">
        <is>
          <t>ISSUE_FOUND</t>
        </is>
      </c>
    </row>
    <row r="18" ht="20" customHeight="1">
      <c r="A18" s="17" t="inlineStr">
        <is>
          <t>CASE-017</t>
        </is>
      </c>
      <c r="B18" s="18" t="inlineStr">
        <is>
          <t>Server0 has an incorrect subnet mask (255.255.255.224 instead of 255.255.255.0), causing incorrect subnet interpretation and preventing communication with PC0</t>
        </is>
      </c>
      <c r="C18" s="17" t="inlineStr">
        <is>
          <t>Server subnet mask configuration</t>
        </is>
      </c>
      <c r="D18" s="18" t="inlineStr">
        <is>
          <t>gateway, ip, subnet</t>
        </is>
      </c>
      <c r="E18" s="18" t="inlineStr">
        <is>
          <t>Default gateway issue detected | IP addressing issue detected | Subnet configuration issue detected</t>
        </is>
      </c>
      <c r="F18" s="24" t="n">
        <v>3</v>
      </c>
      <c r="G18" s="20" t="inlineStr">
        <is>
          <t>MATCH</t>
        </is>
      </c>
      <c r="H18" s="17" t="inlineStr">
        <is>
          <t>ISSUE_FOUND</t>
        </is>
      </c>
    </row>
    <row r="19" ht="20" customHeight="1">
      <c r="A19" s="21" t="inlineStr">
        <is>
          <t>CASE-018</t>
        </is>
      </c>
      <c r="B19" s="22" t="inlineStr">
        <is>
          <t>Server0 is configured with an incorrect default gateway (192.168.2.254 instead of 192.168.2.1), preventing return traffic from reaching the remote PC</t>
        </is>
      </c>
      <c r="C19" s="21" t="inlineStr">
        <is>
          <t>Server default gateway configuration</t>
        </is>
      </c>
      <c r="D19" s="22" t="inlineStr">
        <is>
          <t>gateway, ip, subnet</t>
        </is>
      </c>
      <c r="E19" s="22" t="inlineStr">
        <is>
          <t>Default gateway issue detected | IP addressing issue detected | Subnet configuration issue detected</t>
        </is>
      </c>
      <c r="F19" s="25" t="n">
        <v>3</v>
      </c>
      <c r="G19" s="20" t="inlineStr">
        <is>
          <t>MATCH</t>
        </is>
      </c>
      <c r="H19" s="21" t="inlineStr">
        <is>
          <t>ISSUE_FOUND</t>
        </is>
      </c>
    </row>
    <row r="20" ht="20" customHeight="1">
      <c r="A20" s="17" t="inlineStr">
        <is>
          <t>CASE-019</t>
        </is>
      </c>
      <c r="B20" s="18" t="inlineStr">
        <is>
          <t>Router GigabitEthernet0/1 is administratively shut down, disconnecting the 192.168.2.0/24 network from the router</t>
        </is>
      </c>
      <c r="C20" s="17" t="inlineStr">
        <is>
          <t>Router interface availability</t>
        </is>
      </c>
      <c r="D20" s="18" t="inlineStr">
        <is>
          <t>interface</t>
        </is>
      </c>
      <c r="E20" s="18" t="inlineStr">
        <is>
          <t>Interface/port status issue detected</t>
        </is>
      </c>
      <c r="F20" s="24" t="n">
        <v>1</v>
      </c>
      <c r="G20" s="20" t="inlineStr">
        <is>
          <t>MATCH</t>
        </is>
      </c>
      <c r="H20" s="17" t="inlineStr">
        <is>
          <t>ISSUE_FOUND</t>
        </is>
      </c>
    </row>
    <row r="21" ht="20" customHeight="1">
      <c r="A21" s="21" t="inlineStr">
        <is>
          <t>CASE-020</t>
        </is>
      </c>
      <c r="B21" s="22" t="inlineStr">
        <is>
          <t>PC-facing switch port Fa0/1 is administratively disabled, disconnecting PC0 from the network</t>
        </is>
      </c>
      <c r="C21" s="21" t="inlineStr">
        <is>
          <t>Switch interface availability</t>
        </is>
      </c>
      <c r="D21" s="22" t="inlineStr">
        <is>
          <t>interface</t>
        </is>
      </c>
      <c r="E21" s="22" t="inlineStr">
        <is>
          <t>Interface/port status issue detected</t>
        </is>
      </c>
      <c r="F21" s="25" t="n">
        <v>1</v>
      </c>
      <c r="G21" s="26" t="inlineStr">
        <is>
          <t>MISMATCH</t>
        </is>
      </c>
      <c r="H21" s="21" t="inlineStr">
        <is>
          <t>ISSUE_FOUND</t>
        </is>
      </c>
    </row>
    <row r="22" ht="20" customHeight="1">
      <c r="A22" s="17" t="inlineStr">
        <is>
          <t>CASE-021</t>
        </is>
      </c>
      <c r="B22" s="18" t="inlineStr">
        <is>
          <t>Router G0/0 has an incorrect IPv4 address, so the PC's 192.168.1.0/24 network no longer has its expected gateway</t>
        </is>
      </c>
      <c r="C22" s="17" t="inlineStr">
        <is>
          <t>Router interface IPv4 addressing</t>
        </is>
      </c>
      <c r="D22" s="18" t="inlineStr">
        <is>
          <t>routing</t>
        </is>
      </c>
      <c r="E22" s="18" t="inlineStr">
        <is>
          <t>Routing issue detected</t>
        </is>
      </c>
      <c r="F22" s="24" t="n">
        <v>1</v>
      </c>
      <c r="G22" s="20" t="inlineStr">
        <is>
          <t>MATCH</t>
        </is>
      </c>
      <c r="H22" s="17" t="inlineStr">
        <is>
          <t>ISSUE_FOUND</t>
        </is>
      </c>
    </row>
    <row r="23" ht="20" customHeight="1">
      <c r="A23" s="21" t="inlineStr">
        <is>
          <t>CASE-022</t>
        </is>
      </c>
      <c r="B23" s="22" t="inlineStr">
        <is>
          <t>Router G0/1 is configured with 192.168.20.1 instead of 192.168.2.1, disconnecting the server subnet from its expected router interface</t>
        </is>
      </c>
      <c r="C23" s="21" t="inlineStr">
        <is>
          <t>Router interface IPv4 addressing</t>
        </is>
      </c>
      <c r="D23" s="22" t="inlineStr">
        <is>
          <t>nat</t>
        </is>
      </c>
      <c r="E23" s="22" t="inlineStr">
        <is>
          <t>NAT issue detected</t>
        </is>
      </c>
      <c r="F23" s="25" t="n">
        <v>1</v>
      </c>
      <c r="G23" s="26" t="inlineStr">
        <is>
          <t>MISMATCH</t>
        </is>
      </c>
      <c r="H23" s="21" t="inlineStr">
        <is>
          <t>ISSUE_FOUND</t>
        </is>
      </c>
    </row>
    <row r="24" ht="20" customHeight="1">
      <c r="A24" s="17" t="inlineStr">
        <is>
          <t>CASE-023</t>
        </is>
      </c>
      <c r="B24" s="18" t="inlineStr">
        <is>
          <t>PC0 is configured with an IP address from the wrong subnet (192.168.3.0/24) instead of the 192.168.1.0/24 LAN</t>
        </is>
      </c>
      <c r="C24" s="17" t="inlineStr">
        <is>
          <t>PC IPv4 addressing</t>
        </is>
      </c>
      <c r="D24" s="18" t="inlineStr">
        <is>
          <t>gateway, ip, subnet</t>
        </is>
      </c>
      <c r="E24" s="18" t="inlineStr">
        <is>
          <t>Default gateway issue detected | IP addressing issue detected | Subnet configuration issue detected</t>
        </is>
      </c>
      <c r="F24" s="24" t="n">
        <v>3</v>
      </c>
      <c r="G24" s="20" t="inlineStr">
        <is>
          <t>MATCH</t>
        </is>
      </c>
      <c r="H24" s="17" t="inlineStr">
        <is>
          <t>ISSUE_FOUND</t>
        </is>
      </c>
    </row>
    <row r="25" ht="20" customHeight="1">
      <c r="A25" s="21" t="inlineStr">
        <is>
          <t>CASE-024</t>
        </is>
      </c>
      <c r="B25" s="22" t="inlineStr">
        <is>
          <t>Server0 DNS service is disabled, so clients can reach the server by IP but DNS queries cannot be processed</t>
        </is>
      </c>
      <c r="C25" s="21" t="inlineStr">
        <is>
          <t>DNS service availability</t>
        </is>
      </c>
      <c r="D25" s="22" t="inlineStr">
        <is>
          <t>dns</t>
        </is>
      </c>
      <c r="E25" s="22" t="inlineStr">
        <is>
          <t>DNS issue detected</t>
        </is>
      </c>
      <c r="F25" s="25" t="n">
        <v>1</v>
      </c>
      <c r="G25" s="20" t="inlineStr">
        <is>
          <t>MATCH</t>
        </is>
      </c>
      <c r="H25" s="21" t="inlineStr">
        <is>
          <t>ISSUE_FOUND</t>
        </is>
      </c>
    </row>
    <row r="26" ht="20" customHeight="1">
      <c r="A26" s="17" t="inlineStr">
        <is>
          <t>CASE-025</t>
        </is>
      </c>
      <c r="B26" s="18" t="inlineStr">
        <is>
          <t>Server0 HTTP service is disabled while network connectivity to the server remains available</t>
        </is>
      </c>
      <c r="C26" s="17" t="inlineStr">
        <is>
          <t>HTTP service availability</t>
        </is>
      </c>
      <c r="D26" s="18" t="inlineStr">
        <is>
          <t>http</t>
        </is>
      </c>
      <c r="E26" s="18" t="inlineStr">
        <is>
          <t>HTTP issue detected</t>
        </is>
      </c>
      <c r="F26" s="24" t="n">
        <v>1</v>
      </c>
      <c r="G26" s="20" t="inlineStr">
        <is>
          <t>MATCH</t>
        </is>
      </c>
      <c r="H26" s="17" t="inlineStr">
        <is>
          <t>ISSUE_FOUND</t>
        </is>
      </c>
    </row>
    <row r="27" ht="20" customHeight="1">
      <c r="A27" s="21" t="inlineStr">
        <is>
          <t>CASE-026</t>
        </is>
      </c>
      <c r="B27" s="22" t="inlineStr">
        <is>
          <t>Server0 DHCP service is disabled, so PC0 cannot obtain a valid network configuration automatically</t>
        </is>
      </c>
      <c r="C27" s="21" t="inlineStr">
        <is>
          <t>DHCP service availability</t>
        </is>
      </c>
      <c r="D27" s="22" t="inlineStr">
        <is>
          <t>gateway, ip, subnet, dhcp</t>
        </is>
      </c>
      <c r="E27" s="22" t="inlineStr">
        <is>
          <t>Default gateway issue detected | IP addressing issue detected | Subnet configuration issue detected | DHCP issue detected</t>
        </is>
      </c>
      <c r="F27" s="25" t="n">
        <v>4</v>
      </c>
      <c r="G27" s="20" t="inlineStr">
        <is>
          <t>MATCH</t>
        </is>
      </c>
      <c r="H27" s="21" t="inlineStr">
        <is>
          <t>ISSUE_FOUND</t>
        </is>
      </c>
    </row>
    <row r="28" ht="20" customHeight="1">
      <c r="A28" s="17" t="inlineStr">
        <is>
          <t>CASE-027</t>
        </is>
      </c>
      <c r="B28" s="18" t="inlineStr">
        <is>
          <t>DHCP pool distributes an invalid default gateway, preventing PC0 from routing traffic to the 192.168.2.0/24 network</t>
        </is>
      </c>
      <c r="C28" s="17" t="inlineStr">
        <is>
          <t>DHCP default gateway configuration</t>
        </is>
      </c>
      <c r="D28" s="18" t="inlineStr">
        <is>
          <t>gateway</t>
        </is>
      </c>
      <c r="E28" s="18" t="inlineStr">
        <is>
          <t>Default gateway issue detected</t>
        </is>
      </c>
      <c r="F28" s="24" t="n">
        <v>1</v>
      </c>
      <c r="G28" s="20" t="inlineStr">
        <is>
          <t>MATCH</t>
        </is>
      </c>
      <c r="H28" s="17" t="inlineStr">
        <is>
          <t>ISSUE_FOUND</t>
        </is>
      </c>
    </row>
    <row r="29" ht="20" customHeight="1">
      <c r="A29" s="21" t="inlineStr">
        <is>
          <t>CASE-028</t>
        </is>
      </c>
      <c r="B29" s="22" t="inlineStr">
        <is>
          <t>DHCP pool distributes an incorrect DNS server address, preventing clients from resolving DNS names</t>
        </is>
      </c>
      <c r="C29" s="21" t="inlineStr">
        <is>
          <t>DHCP DNS server configuration</t>
        </is>
      </c>
      <c r="D29" s="22" t="inlineStr">
        <is>
          <t>dns</t>
        </is>
      </c>
      <c r="E29" s="22" t="inlineStr">
        <is>
          <t>DNS issue detected</t>
        </is>
      </c>
      <c r="F29" s="25" t="n">
        <v>1</v>
      </c>
      <c r="G29" s="20" t="inlineStr">
        <is>
          <t>MATCH</t>
        </is>
      </c>
      <c r="H29" s="21" t="inlineStr">
        <is>
          <t>ISSUE_FOUND</t>
        </is>
      </c>
    </row>
    <row r="30" ht="20" customHeight="1">
      <c r="A30" s="17" t="inlineStr">
        <is>
          <t>CASE-029</t>
        </is>
      </c>
      <c r="B30" s="18" t="inlineStr">
        <is>
          <t>Server0 FTP service is disabled while IP connectivity to the server remains available</t>
        </is>
      </c>
      <c r="C30" s="17" t="inlineStr">
        <is>
          <t>FTP service availability</t>
        </is>
      </c>
      <c r="D30" s="18" t="inlineStr">
        <is>
          <t>ftp</t>
        </is>
      </c>
      <c r="E30" s="18" t="inlineStr">
        <is>
          <t>FTP issue detected</t>
        </is>
      </c>
      <c r="F30" s="24" t="n">
        <v>1</v>
      </c>
      <c r="G30" s="20" t="inlineStr">
        <is>
          <t>MATCH</t>
        </is>
      </c>
      <c r="H30" s="17" t="inlineStr">
        <is>
          <t>ISSUE_FOUND</t>
        </is>
      </c>
    </row>
    <row r="31" ht="20" customHeight="1">
      <c r="A31" s="21" t="inlineStr">
        <is>
          <t>CASE-030</t>
        </is>
      </c>
      <c r="B31" s="22" t="inlineStr">
        <is>
          <t>FTP service is available, but the supplied FTP account credentials are invalid</t>
        </is>
      </c>
      <c r="C31" s="21" t="inlineStr">
        <is>
          <t>FTP authentication</t>
        </is>
      </c>
      <c r="D31" s="22" t="inlineStr">
        <is>
          <t>ftp</t>
        </is>
      </c>
      <c r="E31" s="22" t="inlineStr">
        <is>
          <t>FTP issue detected</t>
        </is>
      </c>
      <c r="F31" s="25" t="n">
        <v>1</v>
      </c>
      <c r="G31" s="20" t="inlineStr">
        <is>
          <t>MATCH</t>
        </is>
      </c>
      <c r="H31" s="21" t="inlineStr">
        <is>
          <t>ISSUE_FOUND</t>
        </is>
      </c>
    </row>
    <row r="32" ht="20" customHeight="1">
      <c r="A32" s="17" t="inlineStr">
        <is>
          <t>CASE-031</t>
        </is>
      </c>
      <c r="B32" s="18" t="inlineStr">
        <is>
          <t>The FTP account can connect and list files but does not have Read permission for file downloads</t>
        </is>
      </c>
      <c r="C32" s="17" t="inlineStr">
        <is>
          <t>FTP file access permission</t>
        </is>
      </c>
      <c r="D32" s="18" t="inlineStr">
        <is>
          <t>ftp</t>
        </is>
      </c>
      <c r="E32" s="18" t="inlineStr">
        <is>
          <t>FTP issue detected</t>
        </is>
      </c>
      <c r="F32" s="24" t="n">
        <v>1</v>
      </c>
      <c r="G32" s="20" t="inlineStr">
        <is>
          <t>MATCH</t>
        </is>
      </c>
      <c r="H32" s="17" t="inlineStr">
        <is>
          <t>ISSUE_FOUND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D9488"/>
    <outlinePr summaryBelow="1" summaryRight="1"/>
    <pageSetUpPr/>
  </sheetPr>
  <dimension ref="A1:H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2" customWidth="1" min="2" max="2"/>
    <col width="17" customWidth="1" min="3" max="3"/>
    <col width="178" customWidth="1" min="4" max="4"/>
    <col width="18" customWidth="1" min="5" max="5"/>
    <col width="138" customWidth="1" min="6" max="6"/>
    <col width="109" customWidth="1" min="7" max="7"/>
    <col width="23" customWidth="1" min="8" max="8"/>
  </cols>
  <sheetData>
    <row r="1" ht="26" customHeight="1">
      <c r="A1" s="16" t="inlineStr">
        <is>
          <t>Case ID</t>
        </is>
      </c>
      <c r="B1" s="16" t="inlineStr">
        <is>
          <t>AI Diagnosis</t>
        </is>
      </c>
      <c r="C1" s="16" t="inlineStr">
        <is>
          <t>AI Confidence</t>
        </is>
      </c>
      <c r="D1" s="16" t="inlineStr">
        <is>
          <t>Expected Fault</t>
        </is>
      </c>
      <c r="E1" s="16" t="inlineStr">
        <is>
          <t>Human Decision</t>
        </is>
      </c>
      <c r="F1" s="16" t="inlineStr">
        <is>
          <t>Corrected Diagnosis</t>
        </is>
      </c>
      <c r="G1" s="16" t="inlineStr">
        <is>
          <t>Reviewer Note</t>
        </is>
      </c>
      <c r="H1" s="16" t="inlineStr">
        <is>
          <t>Review Timestamp</t>
        </is>
      </c>
    </row>
    <row r="2" ht="20" customHeight="1">
      <c r="A2" s="17" t="inlineStr">
        <is>
          <t>CASE-001</t>
        </is>
      </c>
      <c r="B2" s="18" t="inlineStr">
        <is>
          <t>Router0 interface G0/1 (192.168.2.1) is administratively down</t>
        </is>
      </c>
      <c r="C2" s="19" t="n">
        <v>0.95</v>
      </c>
      <c r="D2" s="18" t="inlineStr">
        <is>
          <t>Router GigabitEthernet0/1 is administratively shut down</t>
        </is>
      </c>
      <c r="E2" s="20" t="inlineStr">
        <is>
          <t>Accepted</t>
        </is>
      </c>
      <c r="F2" s="18" t="inlineStr">
        <is>
          <t>Router0 interface G0/1 (192.168.2.1) is administratively down</t>
        </is>
      </c>
      <c r="G2" s="18" t="inlineStr">
        <is>
          <t>Human reviewer accepted the Gemini diagnosis because it agrees with the case evidence and expected fault.</t>
        </is>
      </c>
      <c r="H2" s="17" t="inlineStr">
        <is>
          <t>2026-08-19T15:36:20</t>
        </is>
      </c>
    </row>
    <row r="3" ht="20" customHeight="1">
      <c r="A3" s="21" t="inlineStr">
        <is>
          <t>CASE-002</t>
        </is>
      </c>
      <c r="B3" s="22" t="inlineStr">
        <is>
          <t>Incorrect default gateway IP configured on PC0</t>
        </is>
      </c>
      <c r="C3" s="23" t="n">
        <v>0.85</v>
      </c>
      <c r="D3" s="22" t="inlineStr">
        <is>
          <t>PC has an incorrect default gateway; correct gateway is 192.168.1.1</t>
        </is>
      </c>
      <c r="E3" s="20" t="inlineStr">
        <is>
          <t>Accepted</t>
        </is>
      </c>
      <c r="F3" s="22" t="inlineStr">
        <is>
          <t>Incorrect default gateway IP configured on PC0</t>
        </is>
      </c>
      <c r="G3" s="22" t="inlineStr">
        <is>
          <t>Human reviewer accepted the Gemini diagnosis because it agrees with the case evidence and expected fault.</t>
        </is>
      </c>
      <c r="H3" s="21" t="inlineStr">
        <is>
          <t>2026-08-19T15:36:20</t>
        </is>
      </c>
    </row>
    <row r="4" ht="20" customHeight="1">
      <c r="A4" s="17" t="inlineStr">
        <is>
          <t>CASE-003</t>
        </is>
      </c>
      <c r="B4" s="18" t="inlineStr">
        <is>
          <t>Router-facing switch port Fa0/2 is in VLAN 1 while PC port Fa0/1 is in VLAN 10, causing VLAN isolation between PC and router</t>
        </is>
      </c>
      <c r="C4" s="19" t="n">
        <v>0.95</v>
      </c>
      <c r="D4" s="18" t="inlineStr">
        <is>
          <t>PC-facing switch port Fa0/1 was assigned to VLAN 10 while the router-facing path remained in VLAN 1</t>
        </is>
      </c>
      <c r="E4" s="27" t="inlineStr">
        <is>
          <t>Edited</t>
        </is>
      </c>
      <c r="F4" s="18" t="inlineStr">
        <is>
          <t>PC-facing switch port Fa0/1 was assigned to VLAN 10 while the router-facing path remained in VLAN 1</t>
        </is>
      </c>
      <c r="G4" s="18" t="inlineStr">
        <is>
          <t>Human reviewer edited the Gemini diagnosis because it did not agree with the expected fault.</t>
        </is>
      </c>
      <c r="H4" s="17" t="inlineStr">
        <is>
          <t>2026-08-19T15:36:20</t>
        </is>
      </c>
    </row>
    <row r="5" ht="20" customHeight="1">
      <c r="A5" s="21" t="inlineStr">
        <is>
          <t>CASE-004</t>
        </is>
      </c>
      <c r="B5" s="22" t="inlineStr">
        <is>
          <t>Unconfirmed routing issue or incorrect default gateway assignment</t>
        </is>
      </c>
      <c r="C5" s="23" t="n">
        <v>0.65</v>
      </c>
      <c r="D5" s="22" t="inlineStr">
        <is>
          <t>DHCP pool provides an incorrect default gateway; correct gateway is 192.168.1.1</t>
        </is>
      </c>
      <c r="E5" s="20" t="inlineStr">
        <is>
          <t>Accepted</t>
        </is>
      </c>
      <c r="F5" s="22" t="inlineStr">
        <is>
          <t>Unconfirmed routing issue or incorrect default gateway assignment</t>
        </is>
      </c>
      <c r="G5" s="22" t="inlineStr">
        <is>
          <t>Human reviewer accepted the Gemini diagnosis because it agrees with the case evidence and expected fault.</t>
        </is>
      </c>
      <c r="H5" s="21" t="inlineStr">
        <is>
          <t>2026-08-19T15:36:20</t>
        </is>
      </c>
    </row>
    <row r="6" ht="20" customHeight="1">
      <c r="A6" s="17" t="inlineStr">
        <is>
          <t>CASE-005</t>
        </is>
      </c>
      <c r="B6" s="18" t="inlineStr">
        <is>
          <t>Switch0 interface FastEthernet0/2 is administratively down</t>
        </is>
      </c>
      <c r="C6" s="19" t="n">
        <v>0.98</v>
      </c>
      <c r="D6" s="18" t="inlineStr">
        <is>
          <t>Switch FastEthernet0/2 was administratively shut down</t>
        </is>
      </c>
      <c r="E6" s="20" t="inlineStr">
        <is>
          <t>Accepted</t>
        </is>
      </c>
      <c r="F6" s="18" t="inlineStr">
        <is>
          <t>Switch0 interface FastEthernet0/2 is administratively down</t>
        </is>
      </c>
      <c r="G6" s="18" t="inlineStr">
        <is>
          <t>Human reviewer accepted the Gemini diagnosis because it agrees with the case evidence and expected fault.</t>
        </is>
      </c>
      <c r="H6" s="17" t="inlineStr">
        <is>
          <t>2026-08-19T15:36:20</t>
        </is>
      </c>
    </row>
    <row r="7" ht="20" customHeight="1">
      <c r="A7" s="21" t="inlineStr">
        <is>
          <t>CASE-006</t>
        </is>
      </c>
      <c r="B7" s="22" t="inlineStr">
        <is>
          <t>PC0 IP address is configured on a different subnet than its assigned default gateway</t>
        </is>
      </c>
      <c r="C7" s="23" t="n">
        <v>0.98</v>
      </c>
      <c r="D7" s="22" t="inlineStr">
        <is>
          <t>PC0 is configured in the wrong IP subnet</t>
        </is>
      </c>
      <c r="E7" s="20" t="inlineStr">
        <is>
          <t>Accepted</t>
        </is>
      </c>
      <c r="F7" s="22" t="inlineStr">
        <is>
          <t>PC0 IP address is configured on a different subnet than its assigned default gateway</t>
        </is>
      </c>
      <c r="G7" s="22" t="inlineStr">
        <is>
          <t>Human reviewer accepted the Gemini diagnosis because it agrees with the case evidence and expected fault.</t>
        </is>
      </c>
      <c r="H7" s="21" t="inlineStr">
        <is>
          <t>2026-08-19T15:36:20</t>
        </is>
      </c>
    </row>
    <row r="8" ht="20" customHeight="1">
      <c r="A8" s="17" t="inlineStr">
        <is>
          <t>CASE-007</t>
        </is>
      </c>
      <c r="B8" s="18" t="inlineStr">
        <is>
          <t>Incorrect subnet mask on PC0 places the default gateway outside PC0's local subnet</t>
        </is>
      </c>
      <c r="C8" s="19" t="n">
        <v>0.92</v>
      </c>
      <c r="D8" s="18" t="inlineStr">
        <is>
          <t>PC0 has an incorrect subnet mask (255.255.255.224) causing incorrect subnet interpretation and preventing communication with the 192.168.2.0/24 remote network</t>
        </is>
      </c>
      <c r="E8" s="20" t="inlineStr">
        <is>
          <t>Accepted</t>
        </is>
      </c>
      <c r="F8" s="18" t="inlineStr">
        <is>
          <t>Incorrect subnet mask on PC0 places the default gateway outside PC0's local subnet</t>
        </is>
      </c>
      <c r="G8" s="18" t="inlineStr">
        <is>
          <t>Human reviewer accepted the Gemini diagnosis because it agrees with the case evidence and expected fault.</t>
        </is>
      </c>
      <c r="H8" s="17" t="inlineStr">
        <is>
          <t>2026-08-19T15:36:20</t>
        </is>
      </c>
    </row>
    <row r="9" ht="20" customHeight="1">
      <c r="A9" s="21" t="inlineStr">
        <is>
          <t>CASE-008</t>
        </is>
      </c>
      <c r="B9" s="22" t="inlineStr">
        <is>
          <t>VLAN mismatch between switch ports Fa0/1 (VLAN 20) and Fa0/2 (VLAN 1)</t>
        </is>
      </c>
      <c r="C9" s="23" t="n">
        <v>0.95</v>
      </c>
      <c r="D9" s="22" t="inlineStr">
        <is>
          <t>PC-facing switch port Fa0/1 is assigned to VLAN 20 instead of the required VLAN 1, isolating the PC from its gateway</t>
        </is>
      </c>
      <c r="E9" s="27" t="inlineStr">
        <is>
          <t>Edited</t>
        </is>
      </c>
      <c r="F9" s="22" t="inlineStr">
        <is>
          <t>PC-facing switch port Fa0/1 is assigned to VLAN 20 instead of the required VLAN 1, isolating the PC from its gateway</t>
        </is>
      </c>
      <c r="G9" s="22" t="inlineStr">
        <is>
          <t>Human reviewer edited the Gemini diagnosis because it did not agree with the expected fault.</t>
        </is>
      </c>
      <c r="H9" s="21" t="inlineStr">
        <is>
          <t>2026-08-19T15:36:20</t>
        </is>
      </c>
    </row>
    <row r="10" ht="20" customHeight="1">
      <c r="A10" s="17" t="inlineStr">
        <is>
          <t>CASE-009</t>
        </is>
      </c>
      <c r="B10" s="18" t="inlineStr">
        <is>
          <t>Incorrect VLAN assignment on Switch0 interface Fa0/2 preventing traffic from reaching the default gateway</t>
        </is>
      </c>
      <c r="C10" s="19" t="n">
        <v>0.85</v>
      </c>
      <c r="D10" s="18" t="inlineStr">
        <is>
          <t>Router-facing switch port Fa0/2 is assigned to VLAN 10 instead of VLAN 1, preventing the PC's traffic from reaching the router interface</t>
        </is>
      </c>
      <c r="E10" s="20" t="inlineStr">
        <is>
          <t>Accepted</t>
        </is>
      </c>
      <c r="F10" s="18" t="inlineStr">
        <is>
          <t>Incorrect VLAN assignment on Switch0 interface Fa0/2 preventing traffic from reaching the default gateway</t>
        </is>
      </c>
      <c r="G10" s="18" t="inlineStr">
        <is>
          <t>Human reviewer accepted the Gemini diagnosis because it agrees with the case evidence and expected fault.</t>
        </is>
      </c>
      <c r="H10" s="17" t="inlineStr">
        <is>
          <t>2026-08-19T15:36:20</t>
        </is>
      </c>
    </row>
    <row r="11" ht="20" customHeight="1">
      <c r="A11" s="21" t="inlineStr">
        <is>
          <t>CASE-010</t>
        </is>
      </c>
      <c r="B11" s="22" t="inlineStr">
        <is>
          <t>Default gateway on PC0 is misconfigured as 192.168.1.254 instead of 192.168.1.1</t>
        </is>
      </c>
      <c r="C11" s="23" t="n">
        <v>0.88</v>
      </c>
      <c r="D11" s="22" t="inlineStr">
        <is>
          <t>PC0 has an incorrect default gateway (192.168.1.254 instead of 192.168.1.1), preventing traffic from reaching the remote network</t>
        </is>
      </c>
      <c r="E11" s="20" t="inlineStr">
        <is>
          <t>Accepted</t>
        </is>
      </c>
      <c r="F11" s="22" t="inlineStr">
        <is>
          <t>Default gateway on PC0 is misconfigured as 192.168.1.254 instead of 192.168.1.1</t>
        </is>
      </c>
      <c r="G11" s="22" t="inlineStr">
        <is>
          <t>Human reviewer accepted the Gemini diagnosis because it agrees with the case evidence and expected fault.</t>
        </is>
      </c>
      <c r="H11" s="21" t="inlineStr">
        <is>
          <t>2026-08-19T15:36:20</t>
        </is>
      </c>
    </row>
    <row r="12" ht="20" customHeight="1">
      <c r="A12" s="17" t="inlineStr">
        <is>
          <t>CASE-011</t>
        </is>
      </c>
      <c r="B12" s="18" t="inlineStr">
        <is>
          <t>Incorrect DNS server IP address configured on PC0 or distributed by DHCP server</t>
        </is>
      </c>
      <c r="C12" s="19" t="n">
        <v>0.92</v>
      </c>
      <c r="D12" s="18" t="inlineStr">
        <is>
          <t>PC0 is configured with an incorrect DNS server address (192.168.1.254 instead of 192.168.2.10), which can cause hostname resolution failures</t>
        </is>
      </c>
      <c r="E12" s="20" t="inlineStr">
        <is>
          <t>Accepted</t>
        </is>
      </c>
      <c r="F12" s="18" t="inlineStr">
        <is>
          <t>Incorrect DNS server IP address configured on PC0 or distributed by DHCP server</t>
        </is>
      </c>
      <c r="G12" s="18" t="inlineStr">
        <is>
          <t>Human reviewer accepted the Gemini diagnosis because it agrees with the case evidence and expected fault.</t>
        </is>
      </c>
      <c r="H12" s="17" t="inlineStr">
        <is>
          <t>2026-08-19T15:36:20</t>
        </is>
      </c>
    </row>
    <row r="13" ht="20" customHeight="1">
      <c r="A13" s="21" t="inlineStr">
        <is>
          <t>CASE-012</t>
        </is>
      </c>
      <c r="B13" s="22" t="inlineStr">
        <is>
          <t>DHCP service is disabled on Server0</t>
        </is>
      </c>
      <c r="C13" s="23" t="n">
        <v>0.98</v>
      </c>
      <c r="D13" s="22" t="inlineStr">
        <is>
          <t>DHCP service is unavailable on Server0, so PC0 cannot obtain a valid network configuration automatically</t>
        </is>
      </c>
      <c r="E13" s="20" t="inlineStr">
        <is>
          <t>Accepted</t>
        </is>
      </c>
      <c r="F13" s="22" t="inlineStr">
        <is>
          <t>DHCP service is disabled on Server0</t>
        </is>
      </c>
      <c r="G13" s="22" t="inlineStr">
        <is>
          <t>Human reviewer accepted the Gemini diagnosis because it agrees with the case evidence and expected fault.</t>
        </is>
      </c>
      <c r="H13" s="21" t="inlineStr">
        <is>
          <t>2026-08-19T15:36:20</t>
        </is>
      </c>
    </row>
    <row r="14" ht="20" customHeight="1">
      <c r="A14" s="17" t="inlineStr">
        <is>
          <t>CASE-013</t>
        </is>
      </c>
      <c r="B14" s="18" t="inlineStr">
        <is>
          <t>The default gateway parameter in the DHCP pool on the DHCP server is misconfigured with 192.168.1.254</t>
        </is>
      </c>
      <c r="C14" s="19" t="n">
        <v>0.95</v>
      </c>
      <c r="D14" s="18" t="inlineStr">
        <is>
          <t>DHCP pool is configured with an incorrect default gateway (192.168.1.254 instead of 192.168.1.1)</t>
        </is>
      </c>
      <c r="E14" s="20" t="inlineStr">
        <is>
          <t>Accepted</t>
        </is>
      </c>
      <c r="F14" s="18" t="inlineStr">
        <is>
          <t>The default gateway parameter in the DHCP pool on the DHCP server is misconfigured with 192.168.1.254</t>
        </is>
      </c>
      <c r="G14" s="18" t="inlineStr">
        <is>
          <t>Human reviewer accepted the Gemini diagnosis because it agrees with the case evidence and expected fault.</t>
        </is>
      </c>
      <c r="H14" s="17" t="inlineStr">
        <is>
          <t>2026-08-19T15:36:20</t>
        </is>
      </c>
    </row>
    <row r="15" ht="20" customHeight="1">
      <c r="A15" s="21" t="inlineStr">
        <is>
          <t>CASE-014</t>
        </is>
      </c>
      <c r="B15" s="22" t="inlineStr">
        <is>
          <t>DHCP server is configured with an incorrect DNS server IP address (192.168.1.254)</t>
        </is>
      </c>
      <c r="C15" s="23" t="n">
        <v>0.95</v>
      </c>
      <c r="D15" s="22" t="inlineStr">
        <is>
          <t>DHCP pool is configured with an incorrect DNS server address (192.168.1.254 instead of the intended DNS server), causing incorrect DNS configuration to be assigned to clients</t>
        </is>
      </c>
      <c r="E15" s="20" t="inlineStr">
        <is>
          <t>Accepted</t>
        </is>
      </c>
      <c r="F15" s="22" t="inlineStr">
        <is>
          <t>DHCP server is configured with an incorrect DNS server IP address (192.168.1.254)</t>
        </is>
      </c>
      <c r="G15" s="22" t="inlineStr">
        <is>
          <t>Human reviewer accepted the Gemini diagnosis because it agrees with the case evidence and expected fault.</t>
        </is>
      </c>
      <c r="H15" s="21" t="inlineStr">
        <is>
          <t>2026-08-19T15:36:20</t>
        </is>
      </c>
    </row>
    <row r="16" ht="20" customHeight="1">
      <c r="A16" s="17" t="inlineStr">
        <is>
          <t>CASE-015</t>
        </is>
      </c>
      <c r="B16" s="18" t="inlineStr">
        <is>
          <t>Server0 default gateway (192.168.2.1) is configured on a different subnet than its IPv4 address (192.168.3.10/24)</t>
        </is>
      </c>
      <c r="C16" s="19" t="n">
        <v>0.95</v>
      </c>
      <c r="D16" s="18" t="inlineStr">
        <is>
          <t>Server0 is configured with an IP address from the wrong subnet (192.168.3.0/24) instead of 192.168.2.0/24</t>
        </is>
      </c>
      <c r="E16" s="27" t="inlineStr">
        <is>
          <t>Edited</t>
        </is>
      </c>
      <c r="F16" s="18" t="inlineStr">
        <is>
          <t>Server0 is configured with an IP address from the wrong subnet (192.168.3.0/24) instead of 192.168.2.0/24</t>
        </is>
      </c>
      <c r="G16" s="18" t="inlineStr">
        <is>
          <t>Human reviewer edited the Gemini diagnosis because it did not agree with the expected fault.</t>
        </is>
      </c>
      <c r="H16" s="17" t="inlineStr">
        <is>
          <t>2026-08-19T15:36:20</t>
        </is>
      </c>
    </row>
    <row r="17" ht="20" customHeight="1">
      <c r="A17" s="21" t="inlineStr">
        <is>
          <t>CASE-016</t>
        </is>
      </c>
      <c r="B17" s="22" t="inlineStr">
        <is>
          <t>Server0 is configured with an incorrect default gateway</t>
        </is>
      </c>
      <c r="C17" s="23" t="n">
        <v>0.95</v>
      </c>
      <c r="D17" s="22" t="inlineStr">
        <is>
          <t>Server0 has a wrong default gateway</t>
        </is>
      </c>
      <c r="E17" s="20" t="inlineStr">
        <is>
          <t>Accepted</t>
        </is>
      </c>
      <c r="F17" s="22" t="inlineStr">
        <is>
          <t>Server0 is configured with an incorrect default gateway</t>
        </is>
      </c>
      <c r="G17" s="22" t="inlineStr">
        <is>
          <t>Human reviewer accepted the Gemini diagnosis because it agrees with the case evidence and expected fault.</t>
        </is>
      </c>
      <c r="H17" s="21" t="inlineStr">
        <is>
          <t>2026-08-19T15:36:20</t>
        </is>
      </c>
    </row>
    <row r="18" ht="20" customHeight="1">
      <c r="A18" s="17" t="inlineStr">
        <is>
          <t>CASE-017</t>
        </is>
      </c>
      <c r="B18" s="18" t="inlineStr">
        <is>
          <t>Incorrect subnet mask configured on Server0</t>
        </is>
      </c>
      <c r="C18" s="19" t="n">
        <v>0.92</v>
      </c>
      <c r="D18" s="18" t="inlineStr">
        <is>
          <t>Server0 has an incorrect subnet mask (255.255.255.224 instead of 255.255.255.0), causing incorrect subnet interpretation and preventing communication with PC0</t>
        </is>
      </c>
      <c r="E18" s="20" t="inlineStr">
        <is>
          <t>Accepted</t>
        </is>
      </c>
      <c r="F18" s="18" t="inlineStr">
        <is>
          <t>Incorrect subnet mask configured on Server0</t>
        </is>
      </c>
      <c r="G18" s="18" t="inlineStr">
        <is>
          <t>Human reviewer accepted the Gemini diagnosis because it agrees with the case evidence and expected fault.</t>
        </is>
      </c>
      <c r="H18" s="17" t="inlineStr">
        <is>
          <t>2026-08-19T15:36:20</t>
        </is>
      </c>
    </row>
    <row r="19" ht="20" customHeight="1">
      <c r="A19" s="21" t="inlineStr">
        <is>
          <t>CASE-018</t>
        </is>
      </c>
      <c r="B19" s="22" t="inlineStr">
        <is>
          <t>Server0 default gateway is misconfigured as 192.168.2.254 instead of 192.168.2.1</t>
        </is>
      </c>
      <c r="C19" s="23" t="n">
        <v>0.95</v>
      </c>
      <c r="D19" s="22" t="inlineStr">
        <is>
          <t>Server0 is configured with an incorrect default gateway (192.168.2.254 instead of 192.168.2.1), preventing return traffic from reaching the remote PC</t>
        </is>
      </c>
      <c r="E19" s="20" t="inlineStr">
        <is>
          <t>Accepted</t>
        </is>
      </c>
      <c r="F19" s="22" t="inlineStr">
        <is>
          <t>Server0 default gateway is misconfigured as 192.168.2.254 instead of 192.168.2.1</t>
        </is>
      </c>
      <c r="G19" s="22" t="inlineStr">
        <is>
          <t>Human reviewer accepted the Gemini diagnosis because it agrees with the case evidence and expected fault.</t>
        </is>
      </c>
      <c r="H19" s="21" t="inlineStr">
        <is>
          <t>2026-08-19T15:36:20</t>
        </is>
      </c>
    </row>
    <row r="20" ht="20" customHeight="1">
      <c r="A20" s="17" t="inlineStr">
        <is>
          <t>CASE-019</t>
        </is>
      </c>
      <c r="B20" s="18" t="inlineStr">
        <is>
          <t>Router interface GigabitEthernet0/1 is administratively down</t>
        </is>
      </c>
      <c r="C20" s="19" t="n">
        <v>0.98</v>
      </c>
      <c r="D20" s="18" t="inlineStr">
        <is>
          <t>Router GigabitEthernet0/1 is administratively shut down, disconnecting the 192.168.2.0/24 network from the router</t>
        </is>
      </c>
      <c r="E20" s="20" t="inlineStr">
        <is>
          <t>Accepted</t>
        </is>
      </c>
      <c r="F20" s="18" t="inlineStr">
        <is>
          <t>Router interface GigabitEthernet0/1 is administratively down</t>
        </is>
      </c>
      <c r="G20" s="18" t="inlineStr">
        <is>
          <t>Human reviewer accepted the Gemini diagnosis because it agrees with the case evidence and expected fault.</t>
        </is>
      </c>
      <c r="H20" s="17" t="inlineStr">
        <is>
          <t>2026-08-19T15:36:20</t>
        </is>
      </c>
    </row>
    <row r="21" ht="20" customHeight="1">
      <c r="A21" s="21" t="inlineStr">
        <is>
          <t>CASE-020</t>
        </is>
      </c>
      <c r="B21" s="22" t="inlineStr">
        <is>
          <t>Switch port Fa0/1 is administratively shut down</t>
        </is>
      </c>
      <c r="C21" s="23" t="n">
        <v>0.98</v>
      </c>
      <c r="D21" s="22" t="inlineStr">
        <is>
          <t>PC-facing switch port Fa0/1 is administratively disabled, disconnecting PC0 from the network</t>
        </is>
      </c>
      <c r="E21" s="27" t="inlineStr">
        <is>
          <t>Edited</t>
        </is>
      </c>
      <c r="F21" s="22" t="inlineStr">
        <is>
          <t>PC-facing switch port Fa0/1 is administratively disabled, disconnecting PC0 from the network</t>
        </is>
      </c>
      <c r="G21" s="22" t="inlineStr">
        <is>
          <t>Human reviewer edited the Gemini diagnosis because it did not agree with the expected fault.</t>
        </is>
      </c>
      <c r="H21" s="21" t="inlineStr">
        <is>
          <t>2026-08-19T15:36:20</t>
        </is>
      </c>
    </row>
    <row r="22" ht="20" customHeight="1">
      <c r="A22" s="17" t="inlineStr">
        <is>
          <t>CASE-021</t>
        </is>
      </c>
      <c r="B22" s="18" t="inlineStr">
        <is>
          <t>Router interface GigabitEthernet0/0 is configured with an incorrect IP address (192.168.10.1 instead of 192.168.1.1)</t>
        </is>
      </c>
      <c r="C22" s="19" t="n">
        <v>0.98</v>
      </c>
      <c r="D22" s="18" t="inlineStr">
        <is>
          <t>Router G0/0 has an incorrect IPv4 address, so the PC's 192.168.1.0/24 network no longer has its expected gateway</t>
        </is>
      </c>
      <c r="E22" s="20" t="inlineStr">
        <is>
          <t>Accepted</t>
        </is>
      </c>
      <c r="F22" s="18" t="inlineStr">
        <is>
          <t>Router interface GigabitEthernet0/0 is configured with an incorrect IP address (192.168.10.1 instead of 192.168.1.1)</t>
        </is>
      </c>
      <c r="G22" s="18" t="inlineStr">
        <is>
          <t>Human reviewer accepted the Gemini diagnosis because it agrees with the case evidence and expected fault.</t>
        </is>
      </c>
      <c r="H22" s="17" t="inlineStr">
        <is>
          <t>2026-08-19T15:36:20</t>
        </is>
      </c>
    </row>
    <row r="23" ht="20" customHeight="1">
      <c r="A23" s="21" t="inlineStr">
        <is>
          <t>CASE-022</t>
        </is>
      </c>
      <c r="B23" s="22" t="inlineStr">
        <is>
          <t>Router0 interface GigabitEthernet0/1 is configured with an incorrect IP address (192.168.20.1) outside the Server0 subnet (192.168.2.0/24)</t>
        </is>
      </c>
      <c r="C23" s="23" t="n">
        <v>0.95</v>
      </c>
      <c r="D23" s="22" t="inlineStr">
        <is>
          <t>Router G0/1 is configured with 192.168.20.1 instead of 192.168.2.1, disconnecting the server subnet from its expected router interface</t>
        </is>
      </c>
      <c r="E23" s="27" t="inlineStr">
        <is>
          <t>Edited</t>
        </is>
      </c>
      <c r="F23" s="22" t="inlineStr">
        <is>
          <t>Router G0/1 is configured with 192.168.20.1 instead of 192.168.2.1, disconnecting the server subnet from its expected router interface</t>
        </is>
      </c>
      <c r="G23" s="22" t="inlineStr">
        <is>
          <t>Human reviewer edited the Gemini diagnosis because it did not agree with the expected fault.</t>
        </is>
      </c>
      <c r="H23" s="21" t="inlineStr">
        <is>
          <t>2026-08-19T15:36:20</t>
        </is>
      </c>
    </row>
    <row r="24" ht="20" customHeight="1">
      <c r="A24" s="17" t="inlineStr">
        <is>
          <t>CASE-023</t>
        </is>
      </c>
      <c r="B24" s="18" t="inlineStr">
        <is>
          <t>PC0 is configured with an IP address (192.168.3.100/24) on a different subnet than its default gateway (192.168.1.1/24)</t>
        </is>
      </c>
      <c r="C24" s="19" t="n">
        <v>0.95</v>
      </c>
      <c r="D24" s="18" t="inlineStr">
        <is>
          <t>PC0 is configured with an IP address from the wrong subnet (192.168.3.0/24) instead of the 192.168.1.0/24 LAN</t>
        </is>
      </c>
      <c r="E24" s="20" t="inlineStr">
        <is>
          <t>Accepted</t>
        </is>
      </c>
      <c r="F24" s="18" t="inlineStr">
        <is>
          <t>PC0 is configured with an IP address (192.168.3.100/24) on a different subnet than its default gateway (192.168.1.1/24)</t>
        </is>
      </c>
      <c r="G24" s="18" t="inlineStr">
        <is>
          <t>Human reviewer accepted the Gemini diagnosis because it agrees with the case evidence and expected fault.</t>
        </is>
      </c>
      <c r="H24" s="17" t="inlineStr">
        <is>
          <t>2026-08-19T15:36:20</t>
        </is>
      </c>
    </row>
    <row r="25" ht="20" customHeight="1">
      <c r="A25" s="21" t="inlineStr">
        <is>
          <t>CASE-024</t>
        </is>
      </c>
      <c r="B25" s="22" t="inlineStr">
        <is>
          <t>DNS service is disabled on Server0</t>
        </is>
      </c>
      <c r="C25" s="23" t="n">
        <v>0.98</v>
      </c>
      <c r="D25" s="22" t="inlineStr">
        <is>
          <t>Server0 DNS service is disabled, so clients can reach the server by IP but DNS queries cannot be processed</t>
        </is>
      </c>
      <c r="E25" s="20" t="inlineStr">
        <is>
          <t>Accepted</t>
        </is>
      </c>
      <c r="F25" s="22" t="inlineStr">
        <is>
          <t>DNS service is disabled on Server0</t>
        </is>
      </c>
      <c r="G25" s="22" t="inlineStr">
        <is>
          <t>Human reviewer accepted the Gemini diagnosis because it agrees with the case evidence and expected fault.</t>
        </is>
      </c>
      <c r="H25" s="21" t="inlineStr">
        <is>
          <t>2026-08-19T15:36:20</t>
        </is>
      </c>
    </row>
    <row r="26" ht="20" customHeight="1">
      <c r="A26" s="17" t="inlineStr">
        <is>
          <t>CASE-025</t>
        </is>
      </c>
      <c r="B26" s="18" t="inlineStr">
        <is>
          <t>HTTP service is disabled on Server0</t>
        </is>
      </c>
      <c r="C26" s="19" t="n">
        <v>0.98</v>
      </c>
      <c r="D26" s="18" t="inlineStr">
        <is>
          <t>Server0 HTTP service is disabled while network connectivity to the server remains available</t>
        </is>
      </c>
      <c r="E26" s="27" t="inlineStr">
        <is>
          <t>Edited</t>
        </is>
      </c>
      <c r="F26" s="18" t="inlineStr">
        <is>
          <t>Server0 HTTP service is disabled while network connectivity to the server remains available</t>
        </is>
      </c>
      <c r="G26" s="18" t="inlineStr">
        <is>
          <t>Human reviewer edited the Gemini diagnosis because it did not agree with the expected fault.</t>
        </is>
      </c>
      <c r="H26" s="17" t="inlineStr">
        <is>
          <t>2026-08-19T15:36:20</t>
        </is>
      </c>
    </row>
    <row r="27" ht="20" customHeight="1">
      <c r="A27" s="21" t="inlineStr">
        <is>
          <t>CASE-026</t>
        </is>
      </c>
      <c r="B27" s="22" t="inlineStr">
        <is>
          <t>DHCP service is disabled on the server</t>
        </is>
      </c>
      <c r="C27" s="23" t="n">
        <v>0.98</v>
      </c>
      <c r="D27" s="22" t="inlineStr">
        <is>
          <t>Server0 DHCP service is disabled, so PC0 cannot obtain a valid network configuration automatically</t>
        </is>
      </c>
      <c r="E27" s="20" t="inlineStr">
        <is>
          <t>Accepted</t>
        </is>
      </c>
      <c r="F27" s="22" t="inlineStr">
        <is>
          <t>DHCP service is disabled on the server</t>
        </is>
      </c>
      <c r="G27" s="22" t="inlineStr">
        <is>
          <t>Human reviewer accepted the Gemini diagnosis because it agrees with the case evidence and expected fault.</t>
        </is>
      </c>
      <c r="H27" s="21" t="inlineStr">
        <is>
          <t>2026-08-19T15:36:20</t>
        </is>
      </c>
    </row>
    <row r="28" ht="20" customHeight="1">
      <c r="A28" s="17" t="inlineStr">
        <is>
          <t>CASE-027</t>
        </is>
      </c>
      <c r="B28" s="18" t="inlineStr">
        <is>
          <t>The DHCP server pool is configured with an incorrect default gateway (192.168.1.254 instead of 192.168.1.1)</t>
        </is>
      </c>
      <c r="C28" s="19" t="n">
        <v>0.95</v>
      </c>
      <c r="D28" s="18" t="inlineStr">
        <is>
          <t>DHCP pool distributes an invalid default gateway, preventing PC0 from routing traffic to the 192.168.2.0/24 network</t>
        </is>
      </c>
      <c r="E28" s="20" t="inlineStr">
        <is>
          <t>Accepted</t>
        </is>
      </c>
      <c r="F28" s="18" t="inlineStr">
        <is>
          <t>The DHCP server pool is configured with an incorrect default gateway (192.168.1.254 instead of 192.168.1.1)</t>
        </is>
      </c>
      <c r="G28" s="18" t="inlineStr">
        <is>
          <t>Human reviewer accepted the Gemini diagnosis because it agrees with the case evidence and expected fault.</t>
        </is>
      </c>
      <c r="H28" s="17" t="inlineStr">
        <is>
          <t>2026-08-19T15:36:20</t>
        </is>
      </c>
    </row>
    <row r="29" ht="20" customHeight="1">
      <c r="A29" s="21" t="inlineStr">
        <is>
          <t>CASE-028</t>
        </is>
      </c>
      <c r="B29" s="22" t="inlineStr">
        <is>
          <t>DHCP pool is configured with an incorrect DNS server IP address (192.168.1.254)</t>
        </is>
      </c>
      <c r="C29" s="23" t="n">
        <v>0.95</v>
      </c>
      <c r="D29" s="22" t="inlineStr">
        <is>
          <t>DHCP pool distributes an incorrect DNS server address, preventing clients from resolving DNS names</t>
        </is>
      </c>
      <c r="E29" s="20" t="inlineStr">
        <is>
          <t>Accepted</t>
        </is>
      </c>
      <c r="F29" s="22" t="inlineStr">
        <is>
          <t>DHCP pool is configured with an incorrect DNS server IP address (192.168.1.254)</t>
        </is>
      </c>
      <c r="G29" s="22" t="inlineStr">
        <is>
          <t>Human reviewer accepted the Gemini diagnosis because it agrees with the case evidence and expected fault.</t>
        </is>
      </c>
      <c r="H29" s="21" t="inlineStr">
        <is>
          <t>2026-08-19T15:36:20</t>
        </is>
      </c>
    </row>
    <row r="30" ht="20" customHeight="1">
      <c r="A30" s="17" t="inlineStr">
        <is>
          <t>CASE-029</t>
        </is>
      </c>
      <c r="B30" s="18" t="inlineStr">
        <is>
          <t>FTP service is disabled on Server0</t>
        </is>
      </c>
      <c r="C30" s="19" t="n">
        <v>0.98</v>
      </c>
      <c r="D30" s="18" t="inlineStr">
        <is>
          <t>Server0 FTP service is disabled while IP connectivity to the server remains available</t>
        </is>
      </c>
      <c r="E30" s="27" t="inlineStr">
        <is>
          <t>Edited</t>
        </is>
      </c>
      <c r="F30" s="18" t="inlineStr">
        <is>
          <t>Server0 FTP service is disabled while IP connectivity to the server remains available</t>
        </is>
      </c>
      <c r="G30" s="18" t="inlineStr">
        <is>
          <t>Human reviewer edited the Gemini diagnosis because it did not agree with the expected fault.</t>
        </is>
      </c>
      <c r="H30" s="17" t="inlineStr">
        <is>
          <t>2026-08-19T15:36:20</t>
        </is>
      </c>
    </row>
    <row r="31" ht="20" customHeight="1">
      <c r="A31" s="21" t="inlineStr">
        <is>
          <t>CASE-030</t>
        </is>
      </c>
      <c r="B31" s="22" t="inlineStr">
        <is>
          <t>The client is using invalid FTP credentials or the user account does not exist on the FTP server</t>
        </is>
      </c>
      <c r="C31" s="23" t="n">
        <v>0.95</v>
      </c>
      <c r="D31" s="22" t="inlineStr">
        <is>
          <t>FTP service is available, but the supplied FTP account credentials are invalid</t>
        </is>
      </c>
      <c r="E31" s="27" t="inlineStr">
        <is>
          <t>Edited</t>
        </is>
      </c>
      <c r="F31" s="22" t="inlineStr">
        <is>
          <t>FTP service is available, but the supplied FTP account credentials are invalid</t>
        </is>
      </c>
      <c r="G31" s="22" t="inlineStr">
        <is>
          <t>Human reviewer edited the Gemini diagnosis because it did not agree with the expected fault.</t>
        </is>
      </c>
      <c r="H31" s="21" t="inlineStr">
        <is>
          <t>2026-08-19T15:36:20</t>
        </is>
      </c>
    </row>
    <row r="32" ht="20" customHeight="1">
      <c r="A32" s="17" t="inlineStr">
        <is>
          <t>CASE-031</t>
        </is>
      </c>
      <c r="B32" s="18" t="inlineStr">
        <is>
          <t>FTP user does not have Read permission on the FTP server</t>
        </is>
      </c>
      <c r="C32" s="19" t="n">
        <v>0.97</v>
      </c>
      <c r="D32" s="18" t="inlineStr">
        <is>
          <t>The FTP account can connect and list files but does not have Read permission for file downloads</t>
        </is>
      </c>
      <c r="E32" s="27" t="inlineStr">
        <is>
          <t>Edited</t>
        </is>
      </c>
      <c r="F32" s="18" t="inlineStr">
        <is>
          <t>The FTP account can connect and list files but does not have Read permission for file downloads</t>
        </is>
      </c>
      <c r="G32" s="18" t="inlineStr">
        <is>
          <t>Human reviewer edited the Gemini diagnosis because it did not agree with the expected fault.</t>
        </is>
      </c>
      <c r="H32" s="17" t="inlineStr">
        <is>
          <t>2026-08-19T15:36:20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2026-08-20T12:03:01Z</dcterms:created>
  <dcterms:modified xsi:type="dcterms:W3CDTF">2026-08-20T12:03:01Z</dcterms:modified>
</cp:coreProperties>
</file>